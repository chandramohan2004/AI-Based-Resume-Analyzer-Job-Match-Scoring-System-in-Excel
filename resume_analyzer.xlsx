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d.docs.live.net/6b4a1756a3efce88/Desktop/Besant/Course/Excel/Dashboard/"/>
    </mc:Choice>
  </mc:AlternateContent>
  <xr:revisionPtr revIDLastSave="473" documentId="11_FA33E68AA9F768E1E785231DBA6FB18352272D0E" xr6:coauthVersionLast="47" xr6:coauthVersionMax="47" xr10:uidLastSave="{79219C1E-78BE-4BE4-80AE-DA3A7402511D}"/>
  <bookViews>
    <workbookView xWindow="-108" yWindow="-108" windowWidth="23256" windowHeight="12456" activeTab="1" xr2:uid="{00000000-000D-0000-FFFF-FFFF00000000}"/>
  </bookViews>
  <sheets>
    <sheet name="Data_Raw" sheetId="1" r:id="rId1"/>
    <sheet name="dashboard" sheetId="2" r:id="rId2"/>
    <sheet name="pivot &amp; slicer" sheetId="6" r:id="rId3"/>
  </sheets>
  <definedNames>
    <definedName name="Slicer_ATS_Readiness">#N/A</definedName>
    <definedName name="Slicer_Job_Title">#N/A</definedName>
    <definedName name="Slicer_Match_Score_Buckets">#N/A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G101" i="1" a="1"/>
  <c r="E101" i="1" a="1"/>
  <c r="E101" i="1" s="1"/>
  <c r="H101" i="1" s="1" a="1"/>
  <c r="H101" i="1" s="1"/>
  <c r="G100" i="1" a="1"/>
  <c r="E100" i="1" a="1"/>
  <c r="E100" i="1" s="1"/>
  <c r="H100" i="1" s="1" a="1"/>
  <c r="H100" i="1" s="1"/>
  <c r="G99" i="1" a="1"/>
  <c r="E99" i="1" a="1"/>
  <c r="E99" i="1" s="1"/>
  <c r="H99" i="1" s="1" a="1"/>
  <c r="H99" i="1" s="1"/>
  <c r="G98" i="1" a="1"/>
  <c r="E98" i="1" a="1"/>
  <c r="E98" i="1" s="1"/>
  <c r="H98" i="1" s="1" a="1"/>
  <c r="H98" i="1" s="1"/>
  <c r="G97" i="1" a="1"/>
  <c r="E97" i="1" a="1"/>
  <c r="E97" i="1" s="1"/>
  <c r="H97" i="1" s="1" a="1"/>
  <c r="H97" i="1" s="1"/>
  <c r="G96" i="1" a="1"/>
  <c r="E96" i="1" a="1"/>
  <c r="E96" i="1" s="1"/>
  <c r="G95" i="1" a="1"/>
  <c r="E95" i="1" a="1"/>
  <c r="E95" i="1" s="1"/>
  <c r="H95" i="1" s="1" a="1"/>
  <c r="H95" i="1" s="1"/>
  <c r="G94" i="1" a="1"/>
  <c r="E94" i="1" a="1"/>
  <c r="E94" i="1" s="1"/>
  <c r="H94" i="1" s="1" a="1"/>
  <c r="H94" i="1" s="1"/>
  <c r="G93" i="1" a="1"/>
  <c r="E93" i="1" a="1"/>
  <c r="E93" i="1" s="1"/>
  <c r="H93" i="1" s="1" a="1"/>
  <c r="H93" i="1" s="1"/>
  <c r="E92" i="1" a="1"/>
  <c r="E92" i="1" s="1"/>
  <c r="H92" i="1" s="1" a="1"/>
  <c r="H92" i="1" s="1"/>
  <c r="G91" i="1" a="1"/>
  <c r="E91" i="1" a="1"/>
  <c r="E91" i="1" s="1"/>
  <c r="H91" i="1" s="1" a="1"/>
  <c r="H91" i="1" s="1"/>
  <c r="G90" i="1" a="1"/>
  <c r="E90" i="1" a="1"/>
  <c r="E90" i="1" s="1"/>
  <c r="H90" i="1" s="1" a="1"/>
  <c r="H90" i="1" s="1"/>
  <c r="G89" i="1" a="1"/>
  <c r="E89" i="1" a="1"/>
  <c r="E89" i="1" s="1"/>
  <c r="H89" i="1" s="1" a="1"/>
  <c r="H89" i="1" s="1"/>
  <c r="G88" i="1" a="1"/>
  <c r="E88" i="1" a="1"/>
  <c r="E88" i="1" s="1"/>
  <c r="H88" i="1" s="1" a="1"/>
  <c r="H88" i="1" s="1"/>
  <c r="G87" i="1" a="1"/>
  <c r="E87" i="1" a="1"/>
  <c r="E87" i="1" s="1"/>
  <c r="H87" i="1" s="1" a="1"/>
  <c r="H87" i="1" s="1"/>
  <c r="G86" i="1" a="1"/>
  <c r="E86" i="1" a="1"/>
  <c r="E86" i="1" s="1"/>
  <c r="H86" i="1" s="1" a="1"/>
  <c r="H86" i="1" s="1"/>
  <c r="G85" i="1" a="1"/>
  <c r="E85" i="1" a="1"/>
  <c r="E85" i="1" s="1"/>
  <c r="H85" i="1" s="1" a="1"/>
  <c r="H85" i="1" s="1"/>
  <c r="G84" i="1" a="1"/>
  <c r="E84" i="1" a="1"/>
  <c r="E84" i="1" s="1"/>
  <c r="G83" i="1" a="1"/>
  <c r="E83" i="1" a="1"/>
  <c r="E83" i="1" s="1"/>
  <c r="H83" i="1" s="1" a="1"/>
  <c r="H83" i="1" s="1"/>
  <c r="G82" i="1" a="1"/>
  <c r="E82" i="1" a="1"/>
  <c r="E82" i="1" s="1"/>
  <c r="H82" i="1" s="1" a="1"/>
  <c r="H82" i="1" s="1"/>
  <c r="G81" i="1" a="1"/>
  <c r="E81" i="1" a="1"/>
  <c r="E81" i="1" s="1"/>
  <c r="H81" i="1" s="1" a="1"/>
  <c r="H81" i="1" s="1"/>
  <c r="G80" i="1" a="1"/>
  <c r="E80" i="1" a="1"/>
  <c r="E80" i="1"/>
  <c r="H80" i="1" s="1" a="1"/>
  <c r="H80" i="1" s="1"/>
  <c r="G79" i="1" a="1"/>
  <c r="E79" i="1" a="1"/>
  <c r="E79" i="1" s="1"/>
  <c r="H79" i="1" s="1" a="1"/>
  <c r="H79" i="1" s="1"/>
  <c r="G78" i="1" a="1"/>
  <c r="E78" i="1" a="1"/>
  <c r="E78" i="1" s="1"/>
  <c r="H78" i="1" s="1" a="1"/>
  <c r="H78" i="1" s="1"/>
  <c r="G77" i="1" a="1"/>
  <c r="E77" i="1" a="1"/>
  <c r="E77" i="1" s="1"/>
  <c r="H77" i="1" s="1" a="1"/>
  <c r="H77" i="1" s="1"/>
  <c r="G76" i="1" a="1"/>
  <c r="E76" i="1" a="1"/>
  <c r="E76" i="1" s="1"/>
  <c r="G75" i="1" a="1"/>
  <c r="E75" i="1" a="1"/>
  <c r="E75" i="1" s="1"/>
  <c r="H75" i="1" s="1" a="1"/>
  <c r="H75" i="1" s="1"/>
  <c r="G74" i="1" a="1"/>
  <c r="E74" i="1" a="1"/>
  <c r="E74" i="1" s="1"/>
  <c r="G73" i="1" a="1"/>
  <c r="E73" i="1" a="1"/>
  <c r="E73" i="1" s="1"/>
  <c r="H73" i="1" s="1" a="1"/>
  <c r="H73" i="1" s="1"/>
  <c r="G72" i="1" a="1"/>
  <c r="E72" i="1" a="1"/>
  <c r="E72" i="1" s="1"/>
  <c r="H72" i="1" s="1" a="1"/>
  <c r="H72" i="1" s="1"/>
  <c r="G71" i="1" a="1"/>
  <c r="E71" i="1" a="1"/>
  <c r="E71" i="1" s="1"/>
  <c r="H71" i="1" s="1" a="1"/>
  <c r="H71" i="1" s="1"/>
  <c r="G70" i="1" a="1"/>
  <c r="E70" i="1" a="1"/>
  <c r="E70" i="1" s="1"/>
  <c r="H70" i="1" s="1" a="1"/>
  <c r="H70" i="1" s="1"/>
  <c r="G69" i="1" a="1"/>
  <c r="E69" i="1" a="1"/>
  <c r="E69" i="1" s="1"/>
  <c r="H69" i="1" s="1" a="1"/>
  <c r="H69" i="1" s="1"/>
  <c r="G68" i="1" a="1"/>
  <c r="E68" i="1" a="1"/>
  <c r="E68" i="1" s="1"/>
  <c r="G67" i="1" a="1"/>
  <c r="E67" i="1" a="1"/>
  <c r="E67" i="1" s="1"/>
  <c r="H67" i="1" s="1" a="1"/>
  <c r="H67" i="1" s="1"/>
  <c r="G66" i="1" a="1"/>
  <c r="E66" i="1" a="1"/>
  <c r="E66" i="1" s="1"/>
  <c r="H66" i="1" s="1" a="1"/>
  <c r="H66" i="1" s="1"/>
  <c r="G65" i="1" a="1"/>
  <c r="E65" i="1" a="1"/>
  <c r="E65" i="1" s="1"/>
  <c r="H65" i="1" s="1" a="1"/>
  <c r="H65" i="1" s="1"/>
  <c r="G64" i="1" a="1"/>
  <c r="E64" i="1" a="1"/>
  <c r="E64" i="1"/>
  <c r="H64" i="1" s="1" a="1"/>
  <c r="H64" i="1" s="1"/>
  <c r="G63" i="1" a="1"/>
  <c r="E63" i="1" a="1"/>
  <c r="E63" i="1" s="1"/>
  <c r="H63" i="1" s="1" a="1"/>
  <c r="H63" i="1" s="1"/>
  <c r="G62" i="1" a="1"/>
  <c r="E62" i="1" a="1"/>
  <c r="E62" i="1" s="1"/>
  <c r="H62" i="1" s="1" a="1"/>
  <c r="H62" i="1" s="1"/>
  <c r="G61" i="1" a="1"/>
  <c r="E61" i="1" a="1"/>
  <c r="E61" i="1" s="1"/>
  <c r="H61" i="1" s="1" a="1"/>
  <c r="H61" i="1" s="1"/>
  <c r="G60" i="1" a="1"/>
  <c r="E60" i="1" a="1"/>
  <c r="E60" i="1"/>
  <c r="H60" i="1" s="1" a="1"/>
  <c r="H60" i="1" s="1"/>
  <c r="G59" i="1" a="1"/>
  <c r="E59" i="1" a="1"/>
  <c r="E59" i="1" s="1"/>
  <c r="H59" i="1" s="1" a="1"/>
  <c r="H59" i="1" s="1"/>
  <c r="G58" i="1" a="1"/>
  <c r="E58" i="1" a="1"/>
  <c r="E58" i="1" s="1"/>
  <c r="H58" i="1" s="1" a="1"/>
  <c r="H58" i="1" s="1"/>
  <c r="G57" i="1" a="1"/>
  <c r="E57" i="1" a="1"/>
  <c r="E57" i="1" s="1"/>
  <c r="H57" i="1" s="1" a="1"/>
  <c r="H57" i="1" s="1"/>
  <c r="G56" i="1" a="1"/>
  <c r="E56" i="1" a="1"/>
  <c r="E56" i="1" s="1"/>
  <c r="H56" i="1" s="1" a="1"/>
  <c r="H56" i="1" s="1"/>
  <c r="G55" i="1" a="1"/>
  <c r="E55" i="1" a="1"/>
  <c r="E55" i="1" s="1"/>
  <c r="H55" i="1" s="1" a="1"/>
  <c r="H55" i="1" s="1"/>
  <c r="G54" i="1" a="1"/>
  <c r="E54" i="1" a="1"/>
  <c r="E54" i="1" s="1"/>
  <c r="H54" i="1" s="1" a="1"/>
  <c r="H54" i="1" s="1"/>
  <c r="G53" i="1" a="1"/>
  <c r="E53" i="1" a="1"/>
  <c r="E53" i="1" s="1"/>
  <c r="H53" i="1" s="1" a="1"/>
  <c r="H53" i="1" s="1"/>
  <c r="G52" i="1" a="1"/>
  <c r="E52" i="1" a="1"/>
  <c r="E52" i="1" s="1"/>
  <c r="G51" i="1" a="1"/>
  <c r="E51" i="1" a="1"/>
  <c r="E51" i="1" s="1"/>
  <c r="H51" i="1" s="1" a="1"/>
  <c r="H51" i="1" s="1"/>
  <c r="G50" i="1" a="1"/>
  <c r="E50" i="1" a="1"/>
  <c r="E50" i="1" s="1"/>
  <c r="H50" i="1" s="1" a="1"/>
  <c r="H50" i="1" s="1"/>
  <c r="G49" i="1" a="1"/>
  <c r="E49" i="1" a="1"/>
  <c r="E49" i="1" s="1"/>
  <c r="H49" i="1" s="1" a="1"/>
  <c r="H49" i="1" s="1"/>
  <c r="G48" i="1" a="1"/>
  <c r="E48" i="1" a="1"/>
  <c r="E48" i="1"/>
  <c r="H48" i="1" s="1" a="1"/>
  <c r="H48" i="1" s="1"/>
  <c r="G47" i="1" a="1"/>
  <c r="E47" i="1" a="1"/>
  <c r="E47" i="1" s="1"/>
  <c r="H47" i="1" s="1" a="1"/>
  <c r="H47" i="1" s="1"/>
  <c r="G46" i="1" a="1"/>
  <c r="E46" i="1" a="1"/>
  <c r="E46" i="1" s="1"/>
  <c r="H46" i="1" s="1" a="1"/>
  <c r="H46" i="1" s="1"/>
  <c r="G45" i="1" a="1"/>
  <c r="E45" i="1" a="1"/>
  <c r="E45" i="1" s="1"/>
  <c r="H45" i="1" s="1" a="1"/>
  <c r="H45" i="1" s="1"/>
  <c r="G44" i="1" a="1"/>
  <c r="E44" i="1" a="1"/>
  <c r="E44" i="1" s="1"/>
  <c r="G43" i="1" a="1"/>
  <c r="E43" i="1" a="1"/>
  <c r="E43" i="1" s="1"/>
  <c r="H43" i="1" s="1" a="1"/>
  <c r="H43" i="1" s="1"/>
  <c r="G42" i="1" a="1"/>
  <c r="E42" i="1" a="1"/>
  <c r="E42" i="1" s="1"/>
  <c r="G41" i="1" a="1"/>
  <c r="E41" i="1" a="1"/>
  <c r="E41" i="1" s="1"/>
  <c r="H41" i="1" s="1" a="1"/>
  <c r="H41" i="1" s="1"/>
  <c r="G40" i="1" a="1"/>
  <c r="E40" i="1" a="1"/>
  <c r="E40" i="1" s="1"/>
  <c r="H40" i="1" s="1" a="1"/>
  <c r="H40" i="1" s="1"/>
  <c r="G39" i="1" a="1"/>
  <c r="E39" i="1" a="1"/>
  <c r="E39" i="1" s="1"/>
  <c r="H39" i="1" s="1" a="1"/>
  <c r="H39" i="1" s="1"/>
  <c r="G38" i="1" a="1"/>
  <c r="E38" i="1" a="1"/>
  <c r="E38" i="1" s="1"/>
  <c r="H38" i="1" s="1" a="1"/>
  <c r="H38" i="1" s="1"/>
  <c r="G37" i="1" a="1"/>
  <c r="E37" i="1" a="1"/>
  <c r="E37" i="1" s="1"/>
  <c r="H37" i="1" s="1" a="1"/>
  <c r="H37" i="1" s="1"/>
  <c r="G36" i="1" a="1"/>
  <c r="E36" i="1" a="1"/>
  <c r="E36" i="1" s="1"/>
  <c r="G35" i="1" a="1"/>
  <c r="E35" i="1" a="1"/>
  <c r="E35" i="1" s="1"/>
  <c r="H35" i="1" s="1" a="1"/>
  <c r="H35" i="1" s="1"/>
  <c r="G34" i="1" a="1"/>
  <c r="E34" i="1" a="1"/>
  <c r="E34" i="1" s="1"/>
  <c r="H34" i="1" s="1" a="1"/>
  <c r="H34" i="1" s="1"/>
  <c r="G33" i="1" a="1"/>
  <c r="E33" i="1" a="1"/>
  <c r="E33" i="1" s="1"/>
  <c r="H33" i="1" s="1" a="1"/>
  <c r="H33" i="1" s="1"/>
  <c r="G32" i="1" a="1"/>
  <c r="E32" i="1" a="1"/>
  <c r="E32" i="1"/>
  <c r="H32" i="1" s="1" a="1"/>
  <c r="H32" i="1" s="1"/>
  <c r="G31" i="1" a="1"/>
  <c r="E31" i="1" a="1"/>
  <c r="E31" i="1" s="1"/>
  <c r="H31" i="1" s="1" a="1"/>
  <c r="H31" i="1" s="1"/>
  <c r="G30" i="1" a="1"/>
  <c r="E30" i="1" a="1"/>
  <c r="E30" i="1" s="1"/>
  <c r="H30" i="1" s="1" a="1"/>
  <c r="H30" i="1" s="1"/>
  <c r="G29" i="1" a="1"/>
  <c r="E29" i="1" a="1"/>
  <c r="E29" i="1" s="1"/>
  <c r="H29" i="1" s="1" a="1"/>
  <c r="H29" i="1" s="1"/>
  <c r="G28" i="1" a="1"/>
  <c r="E28" i="1" a="1"/>
  <c r="E28" i="1"/>
  <c r="H28" i="1" s="1" a="1"/>
  <c r="H28" i="1" s="1"/>
  <c r="G27" i="1" a="1"/>
  <c r="E27" i="1" a="1"/>
  <c r="E27" i="1" s="1"/>
  <c r="H27" i="1" s="1" a="1"/>
  <c r="H27" i="1" s="1"/>
  <c r="G26" i="1" a="1"/>
  <c r="E26" i="1" a="1"/>
  <c r="E26" i="1"/>
  <c r="H26" i="1" s="1" a="1"/>
  <c r="H26" i="1" s="1"/>
  <c r="G25" i="1" a="1"/>
  <c r="E25" i="1" a="1"/>
  <c r="E25" i="1" s="1"/>
  <c r="H25" i="1" s="1" a="1"/>
  <c r="H25" i="1" s="1"/>
  <c r="G24" i="1" a="1"/>
  <c r="E24" i="1" a="1"/>
  <c r="E24" i="1" s="1"/>
  <c r="H24" i="1" s="1" a="1"/>
  <c r="H24" i="1" s="1"/>
  <c r="G23" i="1" a="1"/>
  <c r="E23" i="1" a="1"/>
  <c r="E23" i="1" s="1"/>
  <c r="H23" i="1" s="1" a="1"/>
  <c r="H23" i="1" s="1"/>
  <c r="G22" i="1" a="1"/>
  <c r="E22" i="1" a="1"/>
  <c r="E22" i="1" s="1"/>
  <c r="H22" i="1" s="1" a="1"/>
  <c r="H22" i="1" s="1"/>
  <c r="G21" i="1" a="1"/>
  <c r="E21" i="1" a="1"/>
  <c r="E21" i="1" s="1"/>
  <c r="H21" i="1" s="1" a="1"/>
  <c r="H21" i="1" s="1"/>
  <c r="G20" i="1" a="1"/>
  <c r="E20" i="1" a="1"/>
  <c r="E20" i="1" s="1"/>
  <c r="G19" i="1" a="1"/>
  <c r="E19" i="1" a="1"/>
  <c r="E19" i="1" s="1"/>
  <c r="H19" i="1" s="1" a="1"/>
  <c r="H19" i="1" s="1"/>
  <c r="G18" i="1" a="1"/>
  <c r="E18" i="1" a="1"/>
  <c r="E18" i="1" s="1"/>
  <c r="H18" i="1" s="1" a="1"/>
  <c r="H18" i="1" s="1"/>
  <c r="G17" i="1" a="1"/>
  <c r="E17" i="1" a="1"/>
  <c r="E17" i="1" s="1"/>
  <c r="H17" i="1" s="1" a="1"/>
  <c r="H17" i="1" s="1"/>
  <c r="G16" i="1" a="1"/>
  <c r="E16" i="1" a="1"/>
  <c r="E16" i="1"/>
  <c r="H16" i="1" s="1" a="1"/>
  <c r="H16" i="1" s="1"/>
  <c r="G15" i="1" a="1"/>
  <c r="E15" i="1" a="1"/>
  <c r="E15" i="1" s="1"/>
  <c r="H15" i="1" s="1" a="1"/>
  <c r="H15" i="1" s="1"/>
  <c r="G14" i="1" a="1"/>
  <c r="E14" i="1" a="1"/>
  <c r="E14" i="1" s="1"/>
  <c r="H14" i="1" s="1" a="1"/>
  <c r="H14" i="1" s="1"/>
  <c r="G13" i="1" a="1"/>
  <c r="E13" i="1" a="1"/>
  <c r="E13" i="1" s="1"/>
  <c r="H13" i="1" s="1" a="1"/>
  <c r="H13" i="1" s="1"/>
  <c r="G12" i="1" a="1"/>
  <c r="E12" i="1" a="1"/>
  <c r="E12" i="1" s="1"/>
  <c r="G11" i="1" a="1"/>
  <c r="E11" i="1" a="1"/>
  <c r="E11" i="1" s="1"/>
  <c r="H11" i="1" s="1" a="1"/>
  <c r="H11" i="1" s="1"/>
  <c r="G10" i="1" a="1"/>
  <c r="E10" i="1" a="1"/>
  <c r="E10" i="1" s="1"/>
  <c r="G9" i="1" a="1"/>
  <c r="E9" i="1" a="1"/>
  <c r="E9" i="1" s="1"/>
  <c r="H9" i="1" s="1" a="1"/>
  <c r="H9" i="1" s="1"/>
  <c r="G8" i="1" a="1"/>
  <c r="E8" i="1" a="1"/>
  <c r="E8" i="1" s="1"/>
  <c r="H8" i="1" s="1" a="1"/>
  <c r="H8" i="1" s="1"/>
  <c r="G7" i="1" a="1"/>
  <c r="E7" i="1" a="1"/>
  <c r="E7" i="1"/>
  <c r="H7" i="1" s="1" a="1"/>
  <c r="H7" i="1" s="1"/>
  <c r="G6" i="1" a="1"/>
  <c r="E6" i="1" a="1"/>
  <c r="E6" i="1" s="1"/>
  <c r="H6" i="1" s="1" a="1"/>
  <c r="H6" i="1" s="1"/>
  <c r="G5" i="1" a="1"/>
  <c r="E5" i="1" a="1"/>
  <c r="E5" i="1" s="1"/>
  <c r="H5" i="1" s="1" a="1"/>
  <c r="H5" i="1" s="1"/>
  <c r="G4" i="1" a="1"/>
  <c r="E4" i="1" a="1"/>
  <c r="E4" i="1" s="1"/>
  <c r="H4" i="1" s="1" a="1"/>
  <c r="H4" i="1" s="1"/>
  <c r="G3" i="1" a="1"/>
  <c r="E3" i="1" a="1"/>
  <c r="E3" i="1" s="1"/>
  <c r="G2" i="1" a="1"/>
  <c r="E2" i="1" a="1"/>
  <c r="E2" i="1" s="1"/>
  <c r="F2" i="1" s="1" a="1"/>
  <c r="F2" i="1" s="1"/>
  <c r="G41" i="1"/>
  <c r="G38" i="1"/>
  <c r="G56" i="1"/>
  <c r="G10" i="1"/>
  <c r="G79" i="1"/>
  <c r="G5" i="1"/>
  <c r="G73" i="1"/>
  <c r="G90" i="1"/>
  <c r="G8" i="1"/>
  <c r="G18" i="1"/>
  <c r="G60" i="1"/>
  <c r="G25" i="1"/>
  <c r="G24" i="1"/>
  <c r="G32" i="1"/>
  <c r="G65" i="1"/>
  <c r="G12" i="1"/>
  <c r="G99" i="1"/>
  <c r="G28" i="1"/>
  <c r="G40" i="1"/>
  <c r="G71" i="1"/>
  <c r="G17" i="1"/>
  <c r="G63" i="1"/>
  <c r="G84" i="1"/>
  <c r="G16" i="1"/>
  <c r="G68" i="1"/>
  <c r="G57" i="1"/>
  <c r="G94" i="1"/>
  <c r="G53" i="1"/>
  <c r="G100" i="1"/>
  <c r="G29" i="1"/>
  <c r="G23" i="1"/>
  <c r="G88" i="1"/>
  <c r="G4" i="1"/>
  <c r="G83" i="1"/>
  <c r="G66" i="1"/>
  <c r="G92" i="1" a="1"/>
  <c r="G78" i="1"/>
  <c r="G48" i="1"/>
  <c r="G36" i="1"/>
  <c r="G31" i="1"/>
  <c r="G21" i="1"/>
  <c r="G43" i="1"/>
  <c r="G20" i="1"/>
  <c r="G97" i="1"/>
  <c r="G35" i="1"/>
  <c r="G47" i="1"/>
  <c r="G55" i="1"/>
  <c r="G26" i="1"/>
  <c r="G64" i="1"/>
  <c r="G37" i="1"/>
  <c r="G34" i="1"/>
  <c r="G82" i="1"/>
  <c r="G33" i="1"/>
  <c r="G81" i="1"/>
  <c r="G70" i="1"/>
  <c r="G75" i="1"/>
  <c r="G3" i="1"/>
  <c r="G30" i="1"/>
  <c r="G74" i="1"/>
  <c r="G58" i="1"/>
  <c r="G22" i="1"/>
  <c r="G15" i="1"/>
  <c r="G50" i="1"/>
  <c r="G14" i="1"/>
  <c r="G98" i="1"/>
  <c r="G49" i="1"/>
  <c r="G62" i="1"/>
  <c r="G11" i="1"/>
  <c r="G77" i="1"/>
  <c r="G13" i="1"/>
  <c r="G95" i="1"/>
  <c r="G52" i="1"/>
  <c r="G86" i="1"/>
  <c r="G72" i="1"/>
  <c r="G96" i="1"/>
  <c r="G51" i="1"/>
  <c r="G91" i="1"/>
  <c r="G39" i="1"/>
  <c r="G2" i="1"/>
  <c r="G7" i="1"/>
  <c r="G27" i="1"/>
  <c r="G61" i="1"/>
  <c r="G45" i="1"/>
  <c r="G80" i="1"/>
  <c r="G44" i="1"/>
  <c r="G6" i="1"/>
  <c r="G101" i="1"/>
  <c r="G85" i="1"/>
  <c r="G69" i="1"/>
  <c r="G87" i="1"/>
  <c r="G76" i="1"/>
  <c r="G42" i="1"/>
  <c r="G67" i="1"/>
  <c r="G9" i="1"/>
  <c r="G54" i="1"/>
  <c r="G19" i="1"/>
  <c r="G93" i="1"/>
  <c r="G59" i="1"/>
  <c r="G46" i="1"/>
  <c r="G89" i="1"/>
  <c r="H52" i="1" l="1" a="1"/>
  <c r="H52" i="1" s="1"/>
  <c r="F52" i="1" a="1"/>
  <c r="F52" i="1" s="1"/>
  <c r="H84" i="1" a="1"/>
  <c r="H84" i="1" s="1"/>
  <c r="F84" i="1" a="1"/>
  <c r="F84" i="1" s="1"/>
  <c r="H42" i="1" a="1"/>
  <c r="H42" i="1" s="1"/>
  <c r="F42" i="1" a="1"/>
  <c r="F42" i="1" s="1"/>
  <c r="H76" i="1" a="1"/>
  <c r="H76" i="1" s="1"/>
  <c r="F76" i="1" a="1"/>
  <c r="F76" i="1" s="1"/>
  <c r="H96" i="1" a="1"/>
  <c r="H96" i="1" s="1"/>
  <c r="F96" i="1" a="1"/>
  <c r="F96" i="1" s="1"/>
  <c r="H12" i="1" a="1"/>
  <c r="H12" i="1" s="1"/>
  <c r="F12" i="1" a="1"/>
  <c r="F12" i="1" s="1"/>
  <c r="H68" i="1" a="1"/>
  <c r="H68" i="1" s="1"/>
  <c r="F68" i="1" a="1"/>
  <c r="F68" i="1" s="1"/>
  <c r="H20" i="1" a="1"/>
  <c r="H20" i="1" s="1"/>
  <c r="F20" i="1" a="1"/>
  <c r="F20" i="1" s="1"/>
  <c r="H3" i="1" a="1"/>
  <c r="H3" i="1" s="1"/>
  <c r="F3" i="1" a="1"/>
  <c r="F3" i="1" s="1"/>
  <c r="H10" i="1" a="1"/>
  <c r="H10" i="1" s="1"/>
  <c r="F10" i="1" a="1"/>
  <c r="F10" i="1" s="1"/>
  <c r="H36" i="1" a="1"/>
  <c r="H36" i="1" s="1"/>
  <c r="F36" i="1" a="1"/>
  <c r="F36" i="1" s="1"/>
  <c r="H44" i="1" a="1"/>
  <c r="H44" i="1" s="1"/>
  <c r="F44" i="1" a="1"/>
  <c r="F44" i="1" s="1"/>
  <c r="H74" i="1" a="1"/>
  <c r="H74" i="1" s="1"/>
  <c r="F74" i="1" a="1"/>
  <c r="F74" i="1" s="1"/>
  <c r="F88" i="1" a="1"/>
  <c r="F88" i="1" s="1"/>
  <c r="F72" i="1" a="1"/>
  <c r="F72" i="1" s="1"/>
  <c r="F56" i="1" a="1"/>
  <c r="F56" i="1" s="1"/>
  <c r="F40" i="1" a="1"/>
  <c r="F40" i="1" s="1"/>
  <c r="F24" i="1" a="1"/>
  <c r="F24" i="1" s="1"/>
  <c r="F8" i="1" a="1"/>
  <c r="F8" i="1" s="1"/>
  <c r="F98" i="1" a="1"/>
  <c r="F98" i="1" s="1"/>
  <c r="F93" i="1" a="1"/>
  <c r="F93" i="1" s="1"/>
  <c r="F87" i="1" a="1"/>
  <c r="F87" i="1" s="1"/>
  <c r="F82" i="1" a="1"/>
  <c r="F82" i="1" s="1"/>
  <c r="F77" i="1" a="1"/>
  <c r="F77" i="1" s="1"/>
  <c r="F71" i="1" a="1"/>
  <c r="F71" i="1" s="1"/>
  <c r="F66" i="1" a="1"/>
  <c r="F66" i="1" s="1"/>
  <c r="F61" i="1" a="1"/>
  <c r="F61" i="1" s="1"/>
  <c r="F55" i="1" a="1"/>
  <c r="F55" i="1" s="1"/>
  <c r="F50" i="1" a="1"/>
  <c r="F50" i="1" s="1"/>
  <c r="F45" i="1" a="1"/>
  <c r="F45" i="1" s="1"/>
  <c r="F39" i="1" a="1"/>
  <c r="F39" i="1" s="1"/>
  <c r="F34" i="1" a="1"/>
  <c r="F34" i="1" s="1"/>
  <c r="F29" i="1" a="1"/>
  <c r="F29" i="1" s="1"/>
  <c r="F23" i="1" a="1"/>
  <c r="F23" i="1" s="1"/>
  <c r="F18" i="1" a="1"/>
  <c r="F18" i="1" s="1"/>
  <c r="F13" i="1" a="1"/>
  <c r="F13" i="1" s="1"/>
  <c r="F7" i="1" a="1"/>
  <c r="F7" i="1" s="1"/>
  <c r="F92" i="1" a="1"/>
  <c r="F92" i="1" s="1"/>
  <c r="F60" i="1" a="1"/>
  <c r="F60" i="1" s="1"/>
  <c r="F28" i="1" a="1"/>
  <c r="F28" i="1" s="1"/>
  <c r="F97" i="1" a="1"/>
  <c r="F97" i="1" s="1"/>
  <c r="F91" i="1" a="1"/>
  <c r="F91" i="1" s="1"/>
  <c r="F86" i="1" a="1"/>
  <c r="F86" i="1" s="1"/>
  <c r="F81" i="1" a="1"/>
  <c r="F81" i="1" s="1"/>
  <c r="F75" i="1" a="1"/>
  <c r="F75" i="1" s="1"/>
  <c r="F70" i="1" a="1"/>
  <c r="F70" i="1" s="1"/>
  <c r="F65" i="1" a="1"/>
  <c r="F65" i="1" s="1"/>
  <c r="F59" i="1" a="1"/>
  <c r="F59" i="1" s="1"/>
  <c r="F54" i="1" a="1"/>
  <c r="F54" i="1" s="1"/>
  <c r="F49" i="1" a="1"/>
  <c r="F49" i="1" s="1"/>
  <c r="F43" i="1" a="1"/>
  <c r="F43" i="1" s="1"/>
  <c r="F38" i="1" a="1"/>
  <c r="F38" i="1" s="1"/>
  <c r="F33" i="1" a="1"/>
  <c r="F33" i="1" s="1"/>
  <c r="F27" i="1" a="1"/>
  <c r="F27" i="1" s="1"/>
  <c r="F22" i="1" a="1"/>
  <c r="F22" i="1" s="1"/>
  <c r="F17" i="1" a="1"/>
  <c r="F17" i="1" s="1"/>
  <c r="F11" i="1" a="1"/>
  <c r="F11" i="1" s="1"/>
  <c r="F6" i="1" a="1"/>
  <c r="F6" i="1" s="1"/>
  <c r="F80" i="1" a="1"/>
  <c r="F80" i="1" s="1"/>
  <c r="F64" i="1" a="1"/>
  <c r="F64" i="1" s="1"/>
  <c r="F48" i="1" a="1"/>
  <c r="F48" i="1" s="1"/>
  <c r="F32" i="1" a="1"/>
  <c r="F32" i="1" s="1"/>
  <c r="F16" i="1" a="1"/>
  <c r="F16" i="1" s="1"/>
  <c r="F101" i="1" a="1"/>
  <c r="F101" i="1" s="1"/>
  <c r="F95" i="1" a="1"/>
  <c r="F95" i="1" s="1"/>
  <c r="F90" i="1" a="1"/>
  <c r="F90" i="1" s="1"/>
  <c r="F85" i="1" a="1"/>
  <c r="F85" i="1" s="1"/>
  <c r="F79" i="1" a="1"/>
  <c r="F79" i="1" s="1"/>
  <c r="F69" i="1" a="1"/>
  <c r="F69" i="1" s="1"/>
  <c r="F63" i="1" a="1"/>
  <c r="F63" i="1" s="1"/>
  <c r="F58" i="1" a="1"/>
  <c r="F58" i="1" s="1"/>
  <c r="F53" i="1" a="1"/>
  <c r="F53" i="1" s="1"/>
  <c r="F47" i="1" a="1"/>
  <c r="F47" i="1" s="1"/>
  <c r="F37" i="1" a="1"/>
  <c r="F37" i="1" s="1"/>
  <c r="F31" i="1" a="1"/>
  <c r="F31" i="1" s="1"/>
  <c r="F26" i="1" a="1"/>
  <c r="F26" i="1" s="1"/>
  <c r="F21" i="1" a="1"/>
  <c r="F21" i="1" s="1"/>
  <c r="F15" i="1" a="1"/>
  <c r="F15" i="1" s="1"/>
  <c r="F5" i="1" a="1"/>
  <c r="F5" i="1" s="1"/>
  <c r="F100" i="1" a="1"/>
  <c r="F100" i="1" s="1"/>
  <c r="F4" i="1" a="1"/>
  <c r="F4" i="1" s="1"/>
  <c r="R6" i="2" s="1"/>
  <c r="F99" i="1" a="1"/>
  <c r="F99" i="1" s="1"/>
  <c r="F94" i="1" a="1"/>
  <c r="F94" i="1" s="1"/>
  <c r="F89" i="1" a="1"/>
  <c r="F89" i="1" s="1"/>
  <c r="F83" i="1" a="1"/>
  <c r="F83" i="1" s="1"/>
  <c r="F78" i="1" a="1"/>
  <c r="F78" i="1" s="1"/>
  <c r="F73" i="1" a="1"/>
  <c r="F73" i="1" s="1"/>
  <c r="F67" i="1" a="1"/>
  <c r="F67" i="1" s="1"/>
  <c r="F62" i="1" a="1"/>
  <c r="F62" i="1" s="1"/>
  <c r="F57" i="1" a="1"/>
  <c r="F57" i="1" s="1"/>
  <c r="F51" i="1" a="1"/>
  <c r="F51" i="1" s="1"/>
  <c r="F46" i="1" a="1"/>
  <c r="F46" i="1" s="1"/>
  <c r="F41" i="1" a="1"/>
  <c r="F41" i="1" s="1"/>
  <c r="F35" i="1" a="1"/>
  <c r="F35" i="1" s="1"/>
  <c r="F30" i="1" a="1"/>
  <c r="F30" i="1" s="1"/>
  <c r="F25" i="1" a="1"/>
  <c r="F25" i="1" s="1"/>
  <c r="F19" i="1" a="1"/>
  <c r="F19" i="1" s="1"/>
  <c r="J6" i="2" s="1"/>
  <c r="F14" i="1" a="1"/>
  <c r="F14" i="1" s="1"/>
  <c r="F9" i="1" a="1"/>
  <c r="F9" i="1" s="1"/>
  <c r="G92" i="1"/>
  <c r="V6" i="2" s="1"/>
  <c r="H2" i="1" a="1"/>
  <c r="H2" i="1" s="1"/>
  <c r="F6" i="2"/>
  <c r="N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<sst xmlns="http://schemas.openxmlformats.org/spreadsheetml/2006/main" count="457" uniqueCount="176">
  <si>
    <t>Candidate Name</t>
  </si>
  <si>
    <t>Skills</t>
  </si>
  <si>
    <t>Job Title</t>
  </si>
  <si>
    <t>Job Keywords</t>
  </si>
  <si>
    <t>Match Score (%)</t>
  </si>
  <si>
    <t>ATS Readiness</t>
  </si>
  <si>
    <t>Improvement Suggestions</t>
  </si>
  <si>
    <t>John Smith</t>
  </si>
  <si>
    <t>Python, SQL, Excel</t>
  </si>
  <si>
    <t>Data Analyst</t>
  </si>
  <si>
    <t>Python, SQL, Excel, Tableau, R</t>
  </si>
  <si>
    <t>Emma Johnson</t>
  </si>
  <si>
    <t>Java, C++, Python</t>
  </si>
  <si>
    <t>Software Engineer</t>
  </si>
  <si>
    <t>Python, Java, C++, HTML, CSS, JavaScript</t>
  </si>
  <si>
    <t>Michael Brown</t>
  </si>
  <si>
    <t>Project Management, Leadership</t>
  </si>
  <si>
    <t>Project Manager</t>
  </si>
  <si>
    <t>Project Management, Leadership, Communication, Excel</t>
  </si>
  <si>
    <t>Olivia Jones</t>
  </si>
  <si>
    <t>Marketing, Communication, Sales</t>
  </si>
  <si>
    <t>Marketing Specialist</t>
  </si>
  <si>
    <t>Marketing, Communication, Sales, Excel, PowerPoint</t>
  </si>
  <si>
    <t>William Garcia</t>
  </si>
  <si>
    <t>Sales, Customer Service, Communication</t>
  </si>
  <si>
    <t>Sales Executive</t>
  </si>
  <si>
    <t>Sales, Customer Service, Communication, Excel</t>
  </si>
  <si>
    <t>Sophia Martinez</t>
  </si>
  <si>
    <t>Python, Excel, R</t>
  </si>
  <si>
    <t>James Rodriguez</t>
  </si>
  <si>
    <t>Java, HTML, CSS</t>
  </si>
  <si>
    <t>Isabella Lee</t>
  </si>
  <si>
    <t>Leadership, Communication</t>
  </si>
  <si>
    <t>Benjamin Walker</t>
  </si>
  <si>
    <t>Marketing, PowerPoint, Excel</t>
  </si>
  <si>
    <t>Mia Hall</t>
  </si>
  <si>
    <t>Sales, Excel</t>
  </si>
  <si>
    <t>Alexander Allen</t>
  </si>
  <si>
    <t>Python, Tableau, SQL</t>
  </si>
  <si>
    <t>Charlotte Young</t>
  </si>
  <si>
    <t>Java, C++, AWS</t>
  </si>
  <si>
    <t>Daniel Hernandez</t>
  </si>
  <si>
    <t>Project Management, Excel, Communication</t>
  </si>
  <si>
    <t>Amelia King</t>
  </si>
  <si>
    <t>Marketing, Sales, Communication</t>
  </si>
  <si>
    <t>Matthew Wright</t>
  </si>
  <si>
    <t>Sales, Customer Service, Excel</t>
  </si>
  <si>
    <t>Harper Scott</t>
  </si>
  <si>
    <t>Python, SQL, R</t>
  </si>
  <si>
    <t>Joseph Green</t>
  </si>
  <si>
    <t>Java, CSS, JavaScript</t>
  </si>
  <si>
    <t>Evelyn Adams</t>
  </si>
  <si>
    <t>Leadership, Project Management</t>
  </si>
  <si>
    <t>David Baker</t>
  </si>
  <si>
    <t>Marketing, PowerPoint, Communication</t>
  </si>
  <si>
    <t>Abigail Nelson</t>
  </si>
  <si>
    <t>Sales, Communication, Excel</t>
  </si>
  <si>
    <t>Samuel Carter</t>
  </si>
  <si>
    <t>Python, SQL, Excel, Tableau</t>
  </si>
  <si>
    <t>Ella Mitchell</t>
  </si>
  <si>
    <t>Java, C++, HTML</t>
  </si>
  <si>
    <t>Christopher Perez</t>
  </si>
  <si>
    <t>Project Management, Leadership, Communication</t>
  </si>
  <si>
    <t>Lily Roberts</t>
  </si>
  <si>
    <t>Marketing, Sales, PowerPoint</t>
  </si>
  <si>
    <t>Andrew Turner</t>
  </si>
  <si>
    <t>Scarlett Phillips</t>
  </si>
  <si>
    <t>Python, R, Tableau</t>
  </si>
  <si>
    <t>Joshua Campbell</t>
  </si>
  <si>
    <t>Java, JavaScript, CSS</t>
  </si>
  <si>
    <t>Grace Parker</t>
  </si>
  <si>
    <t>Leadership, Excel, Communication</t>
  </si>
  <si>
    <t>Nathan Evans</t>
  </si>
  <si>
    <t>Marketing, Excel, PowerPoint</t>
  </si>
  <si>
    <t>Victoria Edwards</t>
  </si>
  <si>
    <t>Sales, Communication, Customer Service</t>
  </si>
  <si>
    <t>Ryan Collins</t>
  </si>
  <si>
    <t>Python, SQL, Excel, R</t>
  </si>
  <si>
    <t>Aria Stewart</t>
  </si>
  <si>
    <t>Java, C++, AWS, HTML</t>
  </si>
  <si>
    <t>Jacob Sanchez</t>
  </si>
  <si>
    <t>Project Management, Leadership, Excel</t>
  </si>
  <si>
    <t>Zoey Morris</t>
  </si>
  <si>
    <t>Marketing, Communication, PowerPoint</t>
  </si>
  <si>
    <t>Anthony Rogers</t>
  </si>
  <si>
    <t>Hannah Reed</t>
  </si>
  <si>
    <t>Python, Tableau, R</t>
  </si>
  <si>
    <t>Dylan Cook</t>
  </si>
  <si>
    <t>Java, HTML, CSS, JavaScript</t>
  </si>
  <si>
    <t>Natalie Morgan</t>
  </si>
  <si>
    <t>Leadership, Project Management, Communication</t>
  </si>
  <si>
    <t>Jonathan Bell</t>
  </si>
  <si>
    <t>Marketing, Excel, Sales</t>
  </si>
  <si>
    <t>Chloe Murphy</t>
  </si>
  <si>
    <t>Kevin Bailey</t>
  </si>
  <si>
    <t>Python, SQL, Tableau, Excel</t>
  </si>
  <si>
    <t>Nora Rivera</t>
  </si>
  <si>
    <t>Java, C++, CSS, AWS</t>
  </si>
  <si>
    <t>Thomas Cooper</t>
  </si>
  <si>
    <t>Stella Richardson</t>
  </si>
  <si>
    <t>Luke Cox</t>
  </si>
  <si>
    <t>Audrey Howard</t>
  </si>
  <si>
    <t>Python, R, SQL</t>
  </si>
  <si>
    <t>Brandon Ward</t>
  </si>
  <si>
    <t>Ellie Peterson</t>
  </si>
  <si>
    <t>Leadership, Project Management, Excel</t>
  </si>
  <si>
    <t>Justin Gray</t>
  </si>
  <si>
    <t>Claire James</t>
  </si>
  <si>
    <t>Ethan Walker</t>
  </si>
  <si>
    <t>Lily Thompson</t>
  </si>
  <si>
    <t>Mason King</t>
  </si>
  <si>
    <t>Zoe Hill</t>
  </si>
  <si>
    <t>Logan Scott</t>
  </si>
  <si>
    <t>Grace Adams</t>
  </si>
  <si>
    <t>Lucas Baker</t>
  </si>
  <si>
    <t>Aria Nelson</t>
  </si>
  <si>
    <t>Jackson Carter</t>
  </si>
  <si>
    <t>Chloe Mitchell</t>
  </si>
  <si>
    <t>Aiden Perez</t>
  </si>
  <si>
    <t>Ella Roberts</t>
  </si>
  <si>
    <t>Elijah Turner</t>
  </si>
  <si>
    <t>Owen Campbell</t>
  </si>
  <si>
    <t>Victoria Parker</t>
  </si>
  <si>
    <t>Caleb Evans</t>
  </si>
  <si>
    <t>Aurora Edwards</t>
  </si>
  <si>
    <t>Nathan Collins</t>
  </si>
  <si>
    <t>Stella Stewart</t>
  </si>
  <si>
    <t>Ryan Sanchez</t>
  </si>
  <si>
    <t>Nora Morris</t>
  </si>
  <si>
    <t>Connor Rogers</t>
  </si>
  <si>
    <t>Leah Reed</t>
  </si>
  <si>
    <t>Hannah Morgan</t>
  </si>
  <si>
    <t>Samuel Bell</t>
  </si>
  <si>
    <t>Audrey Murphy</t>
  </si>
  <si>
    <t>Isaac Bailey</t>
  </si>
  <si>
    <t>Ellie Rivera</t>
  </si>
  <si>
    <t>Gabriel Cooper</t>
  </si>
  <si>
    <t>Clara Richardson</t>
  </si>
  <si>
    <t>Anthony Cox</t>
  </si>
  <si>
    <t>Lillian Howard</t>
  </si>
  <si>
    <t>Christian Ward</t>
  </si>
  <si>
    <t>Penelope Peterson</t>
  </si>
  <si>
    <t>Cameron Gray</t>
  </si>
  <si>
    <t>Alice James</t>
  </si>
  <si>
    <t>Wyatt Hughes</t>
  </si>
  <si>
    <t>Naomi Kelly</t>
  </si>
  <si>
    <t>Leo Price</t>
  </si>
  <si>
    <t>Ruby Sanders</t>
  </si>
  <si>
    <t>Julian Bennett</t>
  </si>
  <si>
    <t>Sadie Foster</t>
  </si>
  <si>
    <t>Levi Butler</t>
  </si>
  <si>
    <t>Hazel Simmons</t>
  </si>
  <si>
    <t>Hunter Foster</t>
  </si>
  <si>
    <t>Violet Bryant</t>
  </si>
  <si>
    <t>Sebastian Crawford</t>
  </si>
  <si>
    <t>Madeline Cole</t>
  </si>
  <si>
    <t>Total Candidates</t>
  </si>
  <si>
    <t>AI-Based Resume Analyzer &amp; Job Match Scoring System</t>
  </si>
  <si>
    <t>Average Match Score</t>
  </si>
  <si>
    <t>High ATS Count</t>
  </si>
  <si>
    <t>Medium ATS Count</t>
  </si>
  <si>
    <t>Low ATS Count</t>
  </si>
  <si>
    <t>Candidates Needing Improvement</t>
  </si>
  <si>
    <t>High</t>
  </si>
  <si>
    <t>Low</t>
  </si>
  <si>
    <t>Medium</t>
  </si>
  <si>
    <t>Grand Total</t>
  </si>
  <si>
    <t>Row Labels</t>
  </si>
  <si>
    <t>Count of Candidate Name</t>
  </si>
  <si>
    <t>Match Score Buckets</t>
  </si>
  <si>
    <t>21-40</t>
  </si>
  <si>
    <t>41-60</t>
  </si>
  <si>
    <t>61-80</t>
  </si>
  <si>
    <t>0-20</t>
  </si>
  <si>
    <t>Average of Match Score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</si>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</sst>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11"/>
      <color theme="1"/>
      <name val="Calibri"/>
      <family val="2"/>
      <scheme val="minor"/>
    </font>
    <font>
      <b/>
      <sz val="24"/>
      <color theme="1"/>
      <name val="Aptos Narrow"/>
      <family val="2"/>
    </font>
    <font>
      <b/>
      <i/>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3" fillId="2" borderId="0" xfId="0" applyFont="1" applyFill="1"/>
    <xf numFmtId="0" fontId="0" fillId="3" borderId="1" xfId="0" applyFill="1"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0" xfId="0" applyNumberFormat="1"/>
    <xf numFmtId="0" fontId="2" fillId="4" borderId="1" xfId="0" applyFont="1" applyFill="1" applyBorder="1" applyAlignment="1">
      <alignment horizontal="center" vertical="center"/>
    </xf>
  </cellXfs>
  <cellStyles count="1">
    <cellStyle name="Normal" xfId="0" builtinId="0"/>
  </cellStyles>
  <dxfs count="8">
    <dxf>
      <numFmt numFmtId="0" formatCode="Genera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numFmt numFmtId="0" formatCode="General"/>
    </dxf>
    <dxf>
      <alignment horizontal="general" vertical="bottom" textRotation="0" wrapText="1" indent="0" justifyLastLine="0" shrinkToFit="0" readingOrder="0"/>
    </dxf>
    <dxf>
      <font>
        <b/>
        <i/>
        <strike val="0"/>
        <outline val="0"/>
        <shadow val="0"/>
        <u val="none"/>
        <vertAlign val="baseline"/>
        <sz val="11"/>
        <color auto="1"/>
        <name val="Calibri"/>
        <family val="2"/>
        <scheme val="minor"/>
      </font>
      <fill>
        <patternFill patternType="solid">
          <fgColor indexed="64"/>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slicer'!$B$10</c:f>
              <c:strCache>
                <c:ptCount val="1"/>
                <c:pt idx="0">
                  <c:v>Total</c:v>
                </c:pt>
              </c:strCache>
            </c:strRef>
          </c:tx>
          <c:spPr>
            <a:solidFill>
              <a:schemeClr val="accent1"/>
            </a:solidFill>
            <a:ln>
              <a:noFill/>
            </a:ln>
            <a:effectLst/>
          </c:spPr>
          <c:invertIfNegative val="0"/>
          <c:cat>
            <c:strRef>
              <c:f>'pivot &amp; slicer'!$A$11:$A$16</c:f>
              <c:strCache>
                <c:ptCount val="5"/>
                <c:pt idx="0">
                  <c:v>Data Analyst</c:v>
                </c:pt>
                <c:pt idx="1">
                  <c:v>Marketing Specialist</c:v>
                </c:pt>
                <c:pt idx="2">
                  <c:v>Project Manager</c:v>
                </c:pt>
                <c:pt idx="3">
                  <c:v>Sales Executive</c:v>
                </c:pt>
                <c:pt idx="4">
                  <c:v>Software Engineer</c:v>
                </c:pt>
              </c:strCache>
            </c:strRef>
          </c:cat>
          <c:val>
            <c:numRef>
              <c:f>'pivot &amp; slicer'!$B$11:$B$16</c:f>
              <c:numCache>
                <c:formatCode>General</c:formatCode>
                <c:ptCount val="5"/>
                <c:pt idx="0">
                  <c:v>66</c:v>
                </c:pt>
                <c:pt idx="1">
                  <c:v>60</c:v>
                </c:pt>
                <c:pt idx="2">
                  <c:v>55</c:v>
                </c:pt>
                <c:pt idx="3">
                  <c:v>72.5</c:v>
                </c:pt>
                <c:pt idx="4">
                  <c:v>41.666666666666671</c:v>
                </c:pt>
              </c:numCache>
            </c:numRef>
          </c:val>
          <c:extLst>
            <c:ext xmlns:c16="http://schemas.microsoft.com/office/drawing/2014/chart" uri="{C3380CC4-5D6E-409C-BE32-E72D297353CC}">
              <c16:uniqueId val="{00000000-DE4F-457F-83C1-FCADDBCD79E0}"/>
            </c:ext>
          </c:extLst>
        </c:ser>
        <c:dLbls>
          <c:showLegendKey val="0"/>
          <c:showVal val="0"/>
          <c:showCatName val="0"/>
          <c:showSerName val="0"/>
          <c:showPercent val="0"/>
          <c:showBubbleSize val="0"/>
        </c:dLbls>
        <c:gapWidth val="219"/>
        <c:overlap val="-27"/>
        <c:axId val="598789680"/>
        <c:axId val="598806960"/>
      </c:barChart>
      <c:catAx>
        <c:axId val="59878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06960"/>
        <c:crosses val="autoZero"/>
        <c:auto val="1"/>
        <c:lblAlgn val="ctr"/>
        <c:lblOffset val="100"/>
        <c:noMultiLvlLbl val="0"/>
      </c:catAx>
      <c:valAx>
        <c:axId val="59880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8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&amp; slicer'!$B$3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B2-4ACE-BAAA-FC19344B15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B2-4ACE-BAAA-FC19344B15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B2-4ACE-BAAA-FC19344B154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&amp; slicer'!$A$4:$A$7</c:f>
              <c:strCache>
                <c:ptCount val="3"/>
                <c:pt idx="0">
                  <c:v>High</c:v>
                </c:pt>
                <c:pt idx="1">
                  <c:v>Low</c:v>
                </c:pt>
                <c:pt idx="2">
                  <c:v>Medium</c:v>
                </c:pt>
              </c:strCache>
            </c:strRef>
          </c:cat>
          <c:val>
            <c:numRef>
              <c:f>'pivot &amp; slicer'!$B$4:$B$7</c:f>
              <c:numCache>
                <c:formatCode>General</c:formatCode>
                <c:ptCount val="3"/>
                <c:pt idx="0">
                  <c:v>36</c:v>
                </c:pt>
                <c:pt idx="1">
                  <c:v>16</c:v>
                </c:pt>
                <c:pt idx="2">
                  <c:v>48</c:v>
                </c:pt>
              </c:numCache>
            </c:numRef>
          </c:val>
          <c:extLst>
            <c:ext xmlns:c16="http://schemas.microsoft.com/office/drawing/2014/chart" uri="{C3380CC4-5D6E-409C-BE32-E72D297353CC}">
              <c16:uniqueId val="{00000006-65B2-4ACE-BAAA-FC19344B154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&amp; slicer'!$B$19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slicer'!$A$20:$A$24</c:f>
              <c:strCache>
                <c:ptCount val="4"/>
                <c:pt idx="0">
                  <c:v>0-20</c:v>
                </c:pt>
                <c:pt idx="1">
                  <c:v>21-40</c:v>
                </c:pt>
                <c:pt idx="2">
                  <c:v>41-60</c:v>
                </c:pt>
                <c:pt idx="3">
                  <c:v>61-80</c:v>
                </c:pt>
              </c:strCache>
            </c:strRef>
          </c:cat>
          <c:val>
            <c:numRef>
              <c:f>'pivot &amp; slicer'!$B$20:$B$24</c:f>
              <c:numCache>
                <c:formatCode>General</c:formatCode>
                <c:ptCount val="4"/>
                <c:pt idx="0">
                  <c:v>2</c:v>
                </c:pt>
                <c:pt idx="1">
                  <c:v>14</c:v>
                </c:pt>
                <c:pt idx="2">
                  <c:v>48</c:v>
                </c:pt>
                <c:pt idx="3">
                  <c:v>36</c:v>
                </c:pt>
              </c:numCache>
            </c:numRef>
          </c:val>
          <c:extLst>
            <c:ext xmlns:c16="http://schemas.microsoft.com/office/drawing/2014/chart" uri="{C3380CC4-5D6E-409C-BE32-E72D297353CC}">
              <c16:uniqueId val="{00000000-7595-40BC-A63B-C8A9F41FCEC4}"/>
            </c:ext>
          </c:extLst>
        </c:ser>
        <c:dLbls>
          <c:dLblPos val="outEnd"/>
          <c:showLegendKey val="0"/>
          <c:showVal val="1"/>
          <c:showCatName val="0"/>
          <c:showSerName val="0"/>
          <c:showPercent val="0"/>
          <c:showBubbleSize val="0"/>
        </c:dLbls>
        <c:gapWidth val="182"/>
        <c:axId val="598820400"/>
        <c:axId val="598821360"/>
      </c:barChart>
      <c:catAx>
        <c:axId val="59882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21360"/>
        <c:crosses val="autoZero"/>
        <c:auto val="1"/>
        <c:lblAlgn val="ctr"/>
        <c:lblOffset val="100"/>
        <c:noMultiLvlLbl val="0"/>
      </c:catAx>
      <c:valAx>
        <c:axId val="5988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2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&amp; slicer'!$E$3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slicer'!$D$4:$D$9</c:f>
              <c:strCache>
                <c:ptCount val="5"/>
                <c:pt idx="0">
                  <c:v>Data Analyst</c:v>
                </c:pt>
                <c:pt idx="1">
                  <c:v>Marketing Specialist</c:v>
                </c:pt>
                <c:pt idx="2">
                  <c:v>Project Manager</c:v>
                </c:pt>
                <c:pt idx="3">
                  <c:v>Sales Executive</c:v>
                </c:pt>
                <c:pt idx="4">
                  <c:v>Software Engineer</c:v>
                </c:pt>
              </c:strCache>
            </c:strRef>
          </c:cat>
          <c:val>
            <c:numRef>
              <c:f>'pivot &amp; slicer'!$E$4:$E$9</c:f>
              <c:numCache>
                <c:formatCode>General</c:formatCode>
                <c:ptCount val="5"/>
                <c:pt idx="0">
                  <c:v>20</c:v>
                </c:pt>
                <c:pt idx="1">
                  <c:v>20</c:v>
                </c:pt>
                <c:pt idx="2">
                  <c:v>20</c:v>
                </c:pt>
                <c:pt idx="3">
                  <c:v>20</c:v>
                </c:pt>
                <c:pt idx="4">
                  <c:v>20</c:v>
                </c:pt>
              </c:numCache>
            </c:numRef>
          </c:val>
          <c:extLst>
            <c:ext xmlns:c16="http://schemas.microsoft.com/office/drawing/2014/chart" uri="{C3380CC4-5D6E-409C-BE32-E72D297353CC}">
              <c16:uniqueId val="{00000000-E22F-496A-9EE8-3AADAD911E71}"/>
            </c:ext>
          </c:extLst>
        </c:ser>
        <c:dLbls>
          <c:dLblPos val="outEnd"/>
          <c:showLegendKey val="0"/>
          <c:showVal val="1"/>
          <c:showCatName val="0"/>
          <c:showSerName val="0"/>
          <c:showPercent val="0"/>
          <c:showBubbleSize val="0"/>
        </c:dLbls>
        <c:gapWidth val="182"/>
        <c:axId val="864692736"/>
        <c:axId val="1126947760"/>
      </c:barChart>
      <c:catAx>
        <c:axId val="86469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47760"/>
        <c:crosses val="autoZero"/>
        <c:auto val="1"/>
        <c:lblAlgn val="ctr"/>
        <c:lblOffset val="100"/>
        <c:noMultiLvlLbl val="0"/>
      </c:catAx>
      <c:valAx>
        <c:axId val="112694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69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slicer!PivotTable11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&amp; slicer'!$H$3:$H$4</c:f>
              <c:strCache>
                <c:ptCount val="1"/>
                <c:pt idx="0">
                  <c:v>High</c:v>
                </c:pt>
              </c:strCache>
            </c:strRef>
          </c:tx>
          <c:spPr>
            <a:solidFill>
              <a:schemeClr val="accent1"/>
            </a:solidFill>
            <a:ln>
              <a:noFill/>
            </a:ln>
            <a:effectLst/>
          </c:spPr>
          <c:invertIfNegative val="0"/>
          <c:cat>
            <c:strRef>
              <c:f>'pivot &amp; slicer'!$G$5:$G$10</c:f>
              <c:strCache>
                <c:ptCount val="5"/>
                <c:pt idx="0">
                  <c:v>Data Analyst</c:v>
                </c:pt>
                <c:pt idx="1">
                  <c:v>Marketing Specialist</c:v>
                </c:pt>
                <c:pt idx="2">
                  <c:v>Project Manager</c:v>
                </c:pt>
                <c:pt idx="3">
                  <c:v>Sales Executive</c:v>
                </c:pt>
                <c:pt idx="4">
                  <c:v>Software Engineer</c:v>
                </c:pt>
              </c:strCache>
            </c:strRef>
          </c:cat>
          <c:val>
            <c:numRef>
              <c:f>'pivot &amp; slicer'!$H$5:$H$10</c:f>
              <c:numCache>
                <c:formatCode>General</c:formatCode>
                <c:ptCount val="5"/>
                <c:pt idx="0">
                  <c:v>6</c:v>
                </c:pt>
                <c:pt idx="2">
                  <c:v>8</c:v>
                </c:pt>
                <c:pt idx="3">
                  <c:v>18</c:v>
                </c:pt>
                <c:pt idx="4">
                  <c:v>4</c:v>
                </c:pt>
              </c:numCache>
            </c:numRef>
          </c:val>
          <c:extLst>
            <c:ext xmlns:c16="http://schemas.microsoft.com/office/drawing/2014/chart" uri="{C3380CC4-5D6E-409C-BE32-E72D297353CC}">
              <c16:uniqueId val="{00000000-3FCA-4676-BD15-EC5F9FD11C66}"/>
            </c:ext>
          </c:extLst>
        </c:ser>
        <c:ser>
          <c:idx val="1"/>
          <c:order val="1"/>
          <c:tx>
            <c:strRef>
              <c:f>'pivot &amp; slicer'!$I$3:$I$4</c:f>
              <c:strCache>
                <c:ptCount val="1"/>
                <c:pt idx="0">
                  <c:v>Low</c:v>
                </c:pt>
              </c:strCache>
            </c:strRef>
          </c:tx>
          <c:spPr>
            <a:solidFill>
              <a:schemeClr val="accent2"/>
            </a:solidFill>
            <a:ln>
              <a:noFill/>
            </a:ln>
            <a:effectLst/>
          </c:spPr>
          <c:invertIfNegative val="0"/>
          <c:cat>
            <c:strRef>
              <c:f>'pivot &amp; slicer'!$G$5:$G$10</c:f>
              <c:strCache>
                <c:ptCount val="5"/>
                <c:pt idx="0">
                  <c:v>Data Analyst</c:v>
                </c:pt>
                <c:pt idx="1">
                  <c:v>Marketing Specialist</c:v>
                </c:pt>
                <c:pt idx="2">
                  <c:v>Project Manager</c:v>
                </c:pt>
                <c:pt idx="3">
                  <c:v>Sales Executive</c:v>
                </c:pt>
                <c:pt idx="4">
                  <c:v>Software Engineer</c:v>
                </c:pt>
              </c:strCache>
            </c:strRef>
          </c:cat>
          <c:val>
            <c:numRef>
              <c:f>'pivot &amp; slicer'!$I$5:$I$10</c:f>
              <c:numCache>
                <c:formatCode>General</c:formatCode>
                <c:ptCount val="5"/>
                <c:pt idx="2">
                  <c:v>4</c:v>
                </c:pt>
                <c:pt idx="4">
                  <c:v>12</c:v>
                </c:pt>
              </c:numCache>
            </c:numRef>
          </c:val>
          <c:extLst>
            <c:ext xmlns:c16="http://schemas.microsoft.com/office/drawing/2014/chart" uri="{C3380CC4-5D6E-409C-BE32-E72D297353CC}">
              <c16:uniqueId val="{00000003-37D4-4FC6-AF89-5A6193D722DB}"/>
            </c:ext>
          </c:extLst>
        </c:ser>
        <c:ser>
          <c:idx val="2"/>
          <c:order val="2"/>
          <c:tx>
            <c:strRef>
              <c:f>'pivot &amp; slicer'!$J$3:$J$4</c:f>
              <c:strCache>
                <c:ptCount val="1"/>
                <c:pt idx="0">
                  <c:v>Medium</c:v>
                </c:pt>
              </c:strCache>
            </c:strRef>
          </c:tx>
          <c:spPr>
            <a:solidFill>
              <a:schemeClr val="accent3"/>
            </a:solidFill>
            <a:ln>
              <a:noFill/>
            </a:ln>
            <a:effectLst/>
          </c:spPr>
          <c:invertIfNegative val="0"/>
          <c:cat>
            <c:strRef>
              <c:f>'pivot &amp; slicer'!$G$5:$G$10</c:f>
              <c:strCache>
                <c:ptCount val="5"/>
                <c:pt idx="0">
                  <c:v>Data Analyst</c:v>
                </c:pt>
                <c:pt idx="1">
                  <c:v>Marketing Specialist</c:v>
                </c:pt>
                <c:pt idx="2">
                  <c:v>Project Manager</c:v>
                </c:pt>
                <c:pt idx="3">
                  <c:v>Sales Executive</c:v>
                </c:pt>
                <c:pt idx="4">
                  <c:v>Software Engineer</c:v>
                </c:pt>
              </c:strCache>
            </c:strRef>
          </c:cat>
          <c:val>
            <c:numRef>
              <c:f>'pivot &amp; slicer'!$J$5:$J$10</c:f>
              <c:numCache>
                <c:formatCode>General</c:formatCode>
                <c:ptCount val="5"/>
                <c:pt idx="0">
                  <c:v>14</c:v>
                </c:pt>
                <c:pt idx="1">
                  <c:v>20</c:v>
                </c:pt>
                <c:pt idx="2">
                  <c:v>8</c:v>
                </c:pt>
                <c:pt idx="3">
                  <c:v>2</c:v>
                </c:pt>
                <c:pt idx="4">
                  <c:v>4</c:v>
                </c:pt>
              </c:numCache>
            </c:numRef>
          </c:val>
          <c:extLst>
            <c:ext xmlns:c16="http://schemas.microsoft.com/office/drawing/2014/chart" uri="{C3380CC4-5D6E-409C-BE32-E72D297353CC}">
              <c16:uniqueId val="{00000004-37D4-4FC6-AF89-5A6193D722DB}"/>
            </c:ext>
          </c:extLst>
        </c:ser>
        <c:dLbls>
          <c:showLegendKey val="0"/>
          <c:showVal val="0"/>
          <c:showCatName val="0"/>
          <c:showSerName val="0"/>
          <c:showPercent val="0"/>
          <c:showBubbleSize val="0"/>
        </c:dLbls>
        <c:gapWidth val="150"/>
        <c:overlap val="100"/>
        <c:axId val="1140237888"/>
        <c:axId val="1140238368"/>
      </c:barChart>
      <c:catAx>
        <c:axId val="114023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38368"/>
        <c:crosses val="autoZero"/>
        <c:auto val="1"/>
        <c:lblAlgn val="ctr"/>
        <c:lblOffset val="100"/>
        <c:noMultiLvlLbl val="0"/>
      </c:catAx>
      <c:valAx>
        <c:axId val="114023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3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slicer'!$B$10</c:f>
              <c:strCache>
                <c:ptCount val="1"/>
                <c:pt idx="0">
                  <c:v>Total</c:v>
                </c:pt>
              </c:strCache>
            </c:strRef>
          </c:tx>
          <c:spPr>
            <a:solidFill>
              <a:schemeClr val="accent1"/>
            </a:solidFill>
            <a:ln>
              <a:noFill/>
            </a:ln>
            <a:effectLst/>
          </c:spPr>
          <c:invertIfNegative val="0"/>
          <c:cat>
            <c:strRef>
              <c:f>'pivot &amp; slicer'!$A$11:$A$16</c:f>
              <c:strCache>
                <c:ptCount val="5"/>
                <c:pt idx="0">
                  <c:v>Data Analyst</c:v>
                </c:pt>
                <c:pt idx="1">
                  <c:v>Marketing Specialist</c:v>
                </c:pt>
                <c:pt idx="2">
                  <c:v>Project Manager</c:v>
                </c:pt>
                <c:pt idx="3">
                  <c:v>Sales Executive</c:v>
                </c:pt>
                <c:pt idx="4">
                  <c:v>Software Engineer</c:v>
                </c:pt>
              </c:strCache>
            </c:strRef>
          </c:cat>
          <c:val>
            <c:numRef>
              <c:f>'pivot &amp; slicer'!$B$11:$B$16</c:f>
              <c:numCache>
                <c:formatCode>General</c:formatCode>
                <c:ptCount val="5"/>
                <c:pt idx="0">
                  <c:v>66</c:v>
                </c:pt>
                <c:pt idx="1">
                  <c:v>60</c:v>
                </c:pt>
                <c:pt idx="2">
                  <c:v>55</c:v>
                </c:pt>
                <c:pt idx="3">
                  <c:v>72.5</c:v>
                </c:pt>
                <c:pt idx="4">
                  <c:v>41.666666666666671</c:v>
                </c:pt>
              </c:numCache>
            </c:numRef>
          </c:val>
          <c:extLst>
            <c:ext xmlns:c16="http://schemas.microsoft.com/office/drawing/2014/chart" uri="{C3380CC4-5D6E-409C-BE32-E72D297353CC}">
              <c16:uniqueId val="{00000000-9715-444B-92C1-3CC03BBECD73}"/>
            </c:ext>
          </c:extLst>
        </c:ser>
        <c:dLbls>
          <c:showLegendKey val="0"/>
          <c:showVal val="0"/>
          <c:showCatName val="0"/>
          <c:showSerName val="0"/>
          <c:showPercent val="0"/>
          <c:showBubbleSize val="0"/>
        </c:dLbls>
        <c:gapWidth val="219"/>
        <c:overlap val="-27"/>
        <c:axId val="598789680"/>
        <c:axId val="598806960"/>
      </c:barChart>
      <c:catAx>
        <c:axId val="59878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06960"/>
        <c:crosses val="autoZero"/>
        <c:auto val="1"/>
        <c:lblAlgn val="ctr"/>
        <c:lblOffset val="100"/>
        <c:noMultiLvlLbl val="0"/>
      </c:catAx>
      <c:valAx>
        <c:axId val="59880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78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&amp; slicer'!$B$3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14-4E19-9AA7-C8B359BF31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14-4E19-9AA7-C8B359BF31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14-4E19-9AA7-C8B359BF31CC}"/>
              </c:ext>
            </c:extLst>
          </c:dPt>
          <c:cat>
            <c:strRef>
              <c:f>'pivot &amp; slicer'!$A$4:$A$7</c:f>
              <c:strCache>
                <c:ptCount val="3"/>
                <c:pt idx="0">
                  <c:v>High</c:v>
                </c:pt>
                <c:pt idx="1">
                  <c:v>Low</c:v>
                </c:pt>
                <c:pt idx="2">
                  <c:v>Medium</c:v>
                </c:pt>
              </c:strCache>
            </c:strRef>
          </c:cat>
          <c:val>
            <c:numRef>
              <c:f>'pivot &amp; slicer'!$B$4:$B$7</c:f>
              <c:numCache>
                <c:formatCode>General</c:formatCode>
                <c:ptCount val="3"/>
                <c:pt idx="0">
                  <c:v>36</c:v>
                </c:pt>
                <c:pt idx="1">
                  <c:v>16</c:v>
                </c:pt>
                <c:pt idx="2">
                  <c:v>48</c:v>
                </c:pt>
              </c:numCache>
            </c:numRef>
          </c:val>
          <c:extLst>
            <c:ext xmlns:c16="http://schemas.microsoft.com/office/drawing/2014/chart" uri="{C3380CC4-5D6E-409C-BE32-E72D297353CC}">
              <c16:uniqueId val="{00000000-2578-4298-A006-4E66223385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&amp; slicer'!$B$19</c:f>
              <c:strCache>
                <c:ptCount val="1"/>
                <c:pt idx="0">
                  <c:v>Total</c:v>
                </c:pt>
              </c:strCache>
            </c:strRef>
          </c:tx>
          <c:spPr>
            <a:solidFill>
              <a:schemeClr val="accent1"/>
            </a:solidFill>
            <a:ln>
              <a:noFill/>
            </a:ln>
            <a:effectLst/>
          </c:spPr>
          <c:invertIfNegative val="0"/>
          <c:cat>
            <c:strRef>
              <c:f>'pivot &amp; slicer'!$A$20:$A$24</c:f>
              <c:strCache>
                <c:ptCount val="4"/>
                <c:pt idx="0">
                  <c:v>0-20</c:v>
                </c:pt>
                <c:pt idx="1">
                  <c:v>21-40</c:v>
                </c:pt>
                <c:pt idx="2">
                  <c:v>41-60</c:v>
                </c:pt>
                <c:pt idx="3">
                  <c:v>61-80</c:v>
                </c:pt>
              </c:strCache>
            </c:strRef>
          </c:cat>
          <c:val>
            <c:numRef>
              <c:f>'pivot &amp; slicer'!$B$20:$B$24</c:f>
              <c:numCache>
                <c:formatCode>General</c:formatCode>
                <c:ptCount val="4"/>
                <c:pt idx="0">
                  <c:v>2</c:v>
                </c:pt>
                <c:pt idx="1">
                  <c:v>14</c:v>
                </c:pt>
                <c:pt idx="2">
                  <c:v>48</c:v>
                </c:pt>
                <c:pt idx="3">
                  <c:v>36</c:v>
                </c:pt>
              </c:numCache>
            </c:numRef>
          </c:val>
          <c:extLst>
            <c:ext xmlns:c16="http://schemas.microsoft.com/office/drawing/2014/chart" uri="{C3380CC4-5D6E-409C-BE32-E72D297353CC}">
              <c16:uniqueId val="{00000000-4005-452F-9942-A6EFEB9FD553}"/>
            </c:ext>
          </c:extLst>
        </c:ser>
        <c:dLbls>
          <c:showLegendKey val="0"/>
          <c:showVal val="0"/>
          <c:showCatName val="0"/>
          <c:showSerName val="0"/>
          <c:showPercent val="0"/>
          <c:showBubbleSize val="0"/>
        </c:dLbls>
        <c:gapWidth val="182"/>
        <c:axId val="598820400"/>
        <c:axId val="598821360"/>
      </c:barChart>
      <c:catAx>
        <c:axId val="59882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21360"/>
        <c:crosses val="autoZero"/>
        <c:auto val="1"/>
        <c:lblAlgn val="ctr"/>
        <c:lblOffset val="100"/>
        <c:noMultiLvlLbl val="0"/>
      </c:catAx>
      <c:valAx>
        <c:axId val="5988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2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&amp; slicer'!$E$3</c:f>
              <c:strCache>
                <c:ptCount val="1"/>
                <c:pt idx="0">
                  <c:v>Total</c:v>
                </c:pt>
              </c:strCache>
            </c:strRef>
          </c:tx>
          <c:spPr>
            <a:solidFill>
              <a:schemeClr val="accent1"/>
            </a:solidFill>
            <a:ln>
              <a:noFill/>
            </a:ln>
            <a:effectLst/>
          </c:spPr>
          <c:invertIfNegative val="0"/>
          <c:cat>
            <c:strRef>
              <c:f>'pivot &amp; slicer'!$D$4:$D$9</c:f>
              <c:strCache>
                <c:ptCount val="5"/>
                <c:pt idx="0">
                  <c:v>Data Analyst</c:v>
                </c:pt>
                <c:pt idx="1">
                  <c:v>Marketing Specialist</c:v>
                </c:pt>
                <c:pt idx="2">
                  <c:v>Project Manager</c:v>
                </c:pt>
                <c:pt idx="3">
                  <c:v>Sales Executive</c:v>
                </c:pt>
                <c:pt idx="4">
                  <c:v>Software Engineer</c:v>
                </c:pt>
              </c:strCache>
            </c:strRef>
          </c:cat>
          <c:val>
            <c:numRef>
              <c:f>'pivot &amp; slicer'!$E$4:$E$9</c:f>
              <c:numCache>
                <c:formatCode>General</c:formatCode>
                <c:ptCount val="5"/>
                <c:pt idx="0">
                  <c:v>20</c:v>
                </c:pt>
                <c:pt idx="1">
                  <c:v>20</c:v>
                </c:pt>
                <c:pt idx="2">
                  <c:v>20</c:v>
                </c:pt>
                <c:pt idx="3">
                  <c:v>20</c:v>
                </c:pt>
                <c:pt idx="4">
                  <c:v>20</c:v>
                </c:pt>
              </c:numCache>
            </c:numRef>
          </c:val>
          <c:extLst>
            <c:ext xmlns:c16="http://schemas.microsoft.com/office/drawing/2014/chart" uri="{C3380CC4-5D6E-409C-BE32-E72D297353CC}">
              <c16:uniqueId val="{00000000-E498-4E3A-A8F9-F1CC783C84FB}"/>
            </c:ext>
          </c:extLst>
        </c:ser>
        <c:dLbls>
          <c:showLegendKey val="0"/>
          <c:showVal val="0"/>
          <c:showCatName val="0"/>
          <c:showSerName val="0"/>
          <c:showPercent val="0"/>
          <c:showBubbleSize val="0"/>
        </c:dLbls>
        <c:gapWidth val="182"/>
        <c:axId val="864692736"/>
        <c:axId val="1126947760"/>
      </c:barChart>
      <c:catAx>
        <c:axId val="86469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47760"/>
        <c:crosses val="autoZero"/>
        <c:auto val="1"/>
        <c:lblAlgn val="ctr"/>
        <c:lblOffset val="100"/>
        <c:noMultiLvlLbl val="0"/>
      </c:catAx>
      <c:valAx>
        <c:axId val="112694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69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[resume_analyzer.xlsx]pivot &amp; slicer!PivotTable11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&amp; slicer'!$H$3:$H$4</c:f>
              <c:strCache>
                <c:ptCount val="1"/>
                <c:pt idx="0">
                  <c:v>High</c:v>
                </c:pt>
              </c:strCache>
            </c:strRef>
          </c:tx>
          <c:spPr>
            <a:solidFill>
              <a:schemeClr val="accent1"/>
            </a:solidFill>
            <a:ln>
              <a:noFill/>
            </a:ln>
            <a:effectLst/>
          </c:spPr>
          <c:invertIfNegative val="0"/>
          <c:cat>
            <c:strRef>
              <c:f>'pivot &amp; slicer'!$G$5:$G$10</c:f>
              <c:strCache>
                <c:ptCount val="5"/>
                <c:pt idx="0">
                  <c:v>Data Analyst</c:v>
                </c:pt>
                <c:pt idx="1">
                  <c:v>Marketing Specialist</c:v>
                </c:pt>
                <c:pt idx="2">
                  <c:v>Project Manager</c:v>
                </c:pt>
                <c:pt idx="3">
                  <c:v>Sales Executive</c:v>
                </c:pt>
                <c:pt idx="4">
                  <c:v>Software Engineer</c:v>
                </c:pt>
              </c:strCache>
            </c:strRef>
          </c:cat>
          <c:val>
            <c:numRef>
              <c:f>'pivot &amp; slicer'!$H$5:$H$10</c:f>
              <c:numCache>
                <c:formatCode>General</c:formatCode>
                <c:ptCount val="5"/>
                <c:pt idx="0">
                  <c:v>6</c:v>
                </c:pt>
                <c:pt idx="2">
                  <c:v>8</c:v>
                </c:pt>
                <c:pt idx="3">
                  <c:v>18</c:v>
                </c:pt>
                <c:pt idx="4">
                  <c:v>4</c:v>
                </c:pt>
              </c:numCache>
            </c:numRef>
          </c:val>
          <c:extLst>
            <c:ext xmlns:c16="http://schemas.microsoft.com/office/drawing/2014/chart" uri="{C3380CC4-5D6E-409C-BE32-E72D297353CC}">
              <c16:uniqueId val="{00000000-CFF9-427B-B852-86CA012A62DD}"/>
            </c:ext>
          </c:extLst>
        </c:ser>
        <c:ser>
          <c:idx val="1"/>
          <c:order val="1"/>
          <c:tx>
            <c:strRef>
              <c:f>'pivot &amp; slicer'!$I$3:$I$4</c:f>
              <c:strCache>
                <c:ptCount val="1"/>
                <c:pt idx="0">
                  <c:v>Low</c:v>
                </c:pt>
              </c:strCache>
            </c:strRef>
          </c:tx>
          <c:spPr>
            <a:solidFill>
              <a:schemeClr val="accent2"/>
            </a:solidFill>
            <a:ln>
              <a:noFill/>
            </a:ln>
            <a:effectLst/>
          </c:spPr>
          <c:invertIfNegative val="0"/>
          <c:cat>
            <c:strRef>
              <c:f>'pivot &amp; slicer'!$G$5:$G$10</c:f>
              <c:strCache>
                <c:ptCount val="5"/>
                <c:pt idx="0">
                  <c:v>Data Analyst</c:v>
                </c:pt>
                <c:pt idx="1">
                  <c:v>Marketing Specialist</c:v>
                </c:pt>
                <c:pt idx="2">
                  <c:v>Project Manager</c:v>
                </c:pt>
                <c:pt idx="3">
                  <c:v>Sales Executive</c:v>
                </c:pt>
                <c:pt idx="4">
                  <c:v>Software Engineer</c:v>
                </c:pt>
              </c:strCache>
            </c:strRef>
          </c:cat>
          <c:val>
            <c:numRef>
              <c:f>'pivot &amp; slicer'!$I$5:$I$10</c:f>
              <c:numCache>
                <c:formatCode>General</c:formatCode>
                <c:ptCount val="5"/>
                <c:pt idx="2">
                  <c:v>4</c:v>
                </c:pt>
                <c:pt idx="4">
                  <c:v>12</c:v>
                </c:pt>
              </c:numCache>
            </c:numRef>
          </c:val>
          <c:extLst>
            <c:ext xmlns:c16="http://schemas.microsoft.com/office/drawing/2014/chart" uri="{C3380CC4-5D6E-409C-BE32-E72D297353CC}">
              <c16:uniqueId val="{00000002-5038-4304-84FC-DF3577B63F98}"/>
            </c:ext>
          </c:extLst>
        </c:ser>
        <c:ser>
          <c:idx val="2"/>
          <c:order val="2"/>
          <c:tx>
            <c:strRef>
              <c:f>'pivot &amp; slicer'!$J$3:$J$4</c:f>
              <c:strCache>
                <c:ptCount val="1"/>
                <c:pt idx="0">
                  <c:v>Medium</c:v>
                </c:pt>
              </c:strCache>
            </c:strRef>
          </c:tx>
          <c:spPr>
            <a:solidFill>
              <a:schemeClr val="accent3"/>
            </a:solidFill>
            <a:ln>
              <a:noFill/>
            </a:ln>
            <a:effectLst/>
          </c:spPr>
          <c:invertIfNegative val="0"/>
          <c:cat>
            <c:strRef>
              <c:f>'pivot &amp; slicer'!$G$5:$G$10</c:f>
              <c:strCache>
                <c:ptCount val="5"/>
                <c:pt idx="0">
                  <c:v>Data Analyst</c:v>
                </c:pt>
                <c:pt idx="1">
                  <c:v>Marketing Specialist</c:v>
                </c:pt>
                <c:pt idx="2">
                  <c:v>Project Manager</c:v>
                </c:pt>
                <c:pt idx="3">
                  <c:v>Sales Executive</c:v>
                </c:pt>
                <c:pt idx="4">
                  <c:v>Software Engineer</c:v>
                </c:pt>
              </c:strCache>
            </c:strRef>
          </c:cat>
          <c:val>
            <c:numRef>
              <c:f>'pivot &amp; slicer'!$J$5:$J$10</c:f>
              <c:numCache>
                <c:formatCode>General</c:formatCode>
                <c:ptCount val="5"/>
                <c:pt idx="0">
                  <c:v>14</c:v>
                </c:pt>
                <c:pt idx="1">
                  <c:v>20</c:v>
                </c:pt>
                <c:pt idx="2">
                  <c:v>8</c:v>
                </c:pt>
                <c:pt idx="3">
                  <c:v>2</c:v>
                </c:pt>
                <c:pt idx="4">
                  <c:v>4</c:v>
                </c:pt>
              </c:numCache>
            </c:numRef>
          </c:val>
          <c:extLst>
            <c:ext xmlns:c16="http://schemas.microsoft.com/office/drawing/2014/chart" uri="{C3380CC4-5D6E-409C-BE32-E72D297353CC}">
              <c16:uniqueId val="{00000003-5038-4304-84FC-DF3577B63F98}"/>
            </c:ext>
          </c:extLst>
        </c:ser>
        <c:dLbls>
          <c:showLegendKey val="0"/>
          <c:showVal val="0"/>
          <c:showCatName val="0"/>
          <c:showSerName val="0"/>
          <c:showPercent val="0"/>
          <c:showBubbleSize val="0"/>
        </c:dLbls>
        <c:gapWidth val="150"/>
        <c:overlap val="100"/>
        <c:axId val="1140237888"/>
        <c:axId val="1140238368"/>
      </c:barChart>
      <c:catAx>
        <c:axId val="114023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38368"/>
        <c:crosses val="autoZero"/>
        <c:auto val="1"/>
        <c:lblAlgn val="ctr"/>
        <c:lblOffset val="100"/>
        <c:noMultiLvlLbl val="0"/>
      </c:catAx>
      <c:valAx>
        <c:axId val="114023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3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8964</xdr:colOff>
      <xdr:row>7</xdr:row>
      <xdr:rowOff>16065</xdr:rowOff>
    </xdr:from>
    <xdr:to>
      <xdr:col>11</xdr:col>
      <xdr:colOff>188259</xdr:colOff>
      <xdr:row>31</xdr:row>
      <xdr:rowOff>0</xdr:rowOff>
    </xdr:to>
    <xdr:graphicFrame macro="">
      <xdr:nvGraphicFramePr>
        <xdr:cNvPr id="2" name="Chart 1">
          <a:extLst>
            <a:ext uri="{FF2B5EF4-FFF2-40B4-BE49-F238E27FC236}">
              <a16:creationId xmlns:a16="http://schemas.microsoft.com/office/drawing/2014/main" id="{BD40B5F8-564A-48B5-AC1F-39B6290DD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15</xdr:row>
      <xdr:rowOff>20419</xdr:rowOff>
    </xdr:from>
    <xdr:to>
      <xdr:col>2</xdr:col>
      <xdr:colOff>602974</xdr:colOff>
      <xdr:row>24</xdr:row>
      <xdr:rowOff>64483</xdr:rowOff>
    </xdr:to>
    <mc:AlternateContent xmlns:mc="http://schemas.openxmlformats.org/markup-compatibility/2006" xmlns:a14="http://schemas.microsoft.com/office/drawing/2010/main">
      <mc:Choice Requires="a14">
        <xdr:graphicFrame macro="">
          <xdr:nvGraphicFramePr>
            <xdr:cNvPr id="3" name="Job Title 1">
              <a:extLst>
                <a:ext uri="{FF2B5EF4-FFF2-40B4-BE49-F238E27FC236}">
                  <a16:creationId xmlns:a16="http://schemas.microsoft.com/office/drawing/2014/main" id="{24718A24-AD6F-42F8-A2D5-A3A583BB27FB}"/>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0" y="2717385"/>
              <a:ext cx="1818749" cy="1662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16934</xdr:colOff>
      <xdr:row>7</xdr:row>
      <xdr:rowOff>0</xdr:rowOff>
    </xdr:from>
    <xdr:to>
      <xdr:col>3</xdr:col>
      <xdr:colOff>10308</xdr:colOff>
      <xdr:row>15</xdr:row>
      <xdr:rowOff>5301</xdr:rowOff>
    </xdr:to>
    <mc:AlternateContent xmlns:mc="http://schemas.openxmlformats.org/markup-compatibility/2006" xmlns:a14="http://schemas.microsoft.com/office/drawing/2010/main">
      <mc:Choice Requires="a14">
        <xdr:graphicFrame macro="">
          <xdr:nvGraphicFramePr>
            <xdr:cNvPr id="4" name="Match Score Buckets 1">
              <a:extLst>
                <a:ext uri="{FF2B5EF4-FFF2-40B4-BE49-F238E27FC236}">
                  <a16:creationId xmlns:a16="http://schemas.microsoft.com/office/drawing/2014/main" id="{875CA121-27B6-4D7A-AD06-78C50EE83EEE}"/>
                </a:ext>
              </a:extLst>
            </xdr:cNvPr>
            <xdr:cNvGraphicFramePr/>
          </xdr:nvGraphicFramePr>
          <xdr:xfrm>
            <a:off x="0" y="0"/>
            <a:ext cx="0" cy="0"/>
          </xdr:xfrm>
          <a:graphic>
            <a:graphicData uri="http://schemas.microsoft.com/office/drawing/2010/slicer">
              <sle:slicer xmlns:sle="http://schemas.microsoft.com/office/drawing/2010/slicer" name="Match Score Buckets 1"/>
            </a:graphicData>
          </a:graphic>
        </xdr:graphicFrame>
      </mc:Choice>
      <mc:Fallback xmlns="">
        <xdr:sp macro="" textlink="">
          <xdr:nvSpPr>
            <xdr:cNvPr id="0" name=""/>
            <xdr:cNvSpPr>
              <a:spLocks noTextEdit="1"/>
            </xdr:cNvSpPr>
          </xdr:nvSpPr>
          <xdr:spPr>
            <a:xfrm>
              <a:off x="16934" y="1258584"/>
              <a:ext cx="1817037" cy="1443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79686</xdr:rowOff>
    </xdr:from>
    <xdr:to>
      <xdr:col>2</xdr:col>
      <xdr:colOff>602974</xdr:colOff>
      <xdr:row>30</xdr:row>
      <xdr:rowOff>160507</xdr:rowOff>
    </xdr:to>
    <mc:AlternateContent xmlns:mc="http://schemas.openxmlformats.org/markup-compatibility/2006" xmlns:a14="http://schemas.microsoft.com/office/drawing/2010/main">
      <mc:Choice Requires="a14">
        <xdr:graphicFrame macro="">
          <xdr:nvGraphicFramePr>
            <xdr:cNvPr id="5" name="ATS Readiness 1">
              <a:extLst>
                <a:ext uri="{FF2B5EF4-FFF2-40B4-BE49-F238E27FC236}">
                  <a16:creationId xmlns:a16="http://schemas.microsoft.com/office/drawing/2014/main" id="{3897BED2-D6F9-475A-9AFC-7B4009487AB4}"/>
                </a:ext>
              </a:extLst>
            </xdr:cNvPr>
            <xdr:cNvGraphicFramePr/>
          </xdr:nvGraphicFramePr>
          <xdr:xfrm>
            <a:off x="0" y="0"/>
            <a:ext cx="0" cy="0"/>
          </xdr:xfrm>
          <a:graphic>
            <a:graphicData uri="http://schemas.microsoft.com/office/drawing/2010/slicer">
              <sle:slicer xmlns:sle="http://schemas.microsoft.com/office/drawing/2010/slicer" name="ATS Readiness 1"/>
            </a:graphicData>
          </a:graphic>
        </xdr:graphicFrame>
      </mc:Choice>
      <mc:Fallback xmlns="">
        <xdr:sp macro="" textlink="">
          <xdr:nvSpPr>
            <xdr:cNvPr id="0" name=""/>
            <xdr:cNvSpPr>
              <a:spLocks noTextEdit="1"/>
            </xdr:cNvSpPr>
          </xdr:nvSpPr>
          <xdr:spPr>
            <a:xfrm>
              <a:off x="0" y="4394832"/>
              <a:ext cx="1818749" cy="1159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187857</xdr:colOff>
      <xdr:row>7</xdr:row>
      <xdr:rowOff>19923</xdr:rowOff>
    </xdr:from>
    <xdr:to>
      <xdr:col>18</xdr:col>
      <xdr:colOff>178891</xdr:colOff>
      <xdr:row>18</xdr:row>
      <xdr:rowOff>80682</xdr:rowOff>
    </xdr:to>
    <xdr:graphicFrame macro="">
      <xdr:nvGraphicFramePr>
        <xdr:cNvPr id="6" name="Chart 5">
          <a:extLst>
            <a:ext uri="{FF2B5EF4-FFF2-40B4-BE49-F238E27FC236}">
              <a16:creationId xmlns:a16="http://schemas.microsoft.com/office/drawing/2014/main" id="{4EB055B4-19BC-4556-B569-7D758C337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188258</xdr:colOff>
      <xdr:row>7</xdr:row>
      <xdr:rowOff>15936</xdr:rowOff>
    </xdr:from>
    <xdr:to>
      <xdr:col>25</xdr:col>
      <xdr:colOff>11952</xdr:colOff>
      <xdr:row>18</xdr:row>
      <xdr:rowOff>59932</xdr:rowOff>
    </xdr:to>
    <xdr:graphicFrame macro="">
      <xdr:nvGraphicFramePr>
        <xdr:cNvPr id="7" name="Chart 6">
          <a:extLst>
            <a:ext uri="{FF2B5EF4-FFF2-40B4-BE49-F238E27FC236}">
              <a16:creationId xmlns:a16="http://schemas.microsoft.com/office/drawing/2014/main" id="{B3695AF3-51E3-4917-886D-2527E42E3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196921</xdr:colOff>
      <xdr:row>18</xdr:row>
      <xdr:rowOff>94179</xdr:rowOff>
    </xdr:from>
    <xdr:to>
      <xdr:col>18</xdr:col>
      <xdr:colOff>171235</xdr:colOff>
      <xdr:row>31</xdr:row>
      <xdr:rowOff>8562</xdr:rowOff>
    </xdr:to>
    <xdr:graphicFrame macro="">
      <xdr:nvGraphicFramePr>
        <xdr:cNvPr id="8" name="Chart 7">
          <a:extLst>
            <a:ext uri="{FF2B5EF4-FFF2-40B4-BE49-F238E27FC236}">
              <a16:creationId xmlns:a16="http://schemas.microsoft.com/office/drawing/2014/main" id="{309B3F62-44C8-46A7-A09E-37953EDC2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179797</xdr:colOff>
      <xdr:row>18</xdr:row>
      <xdr:rowOff>77056</xdr:rowOff>
    </xdr:from>
    <xdr:to>
      <xdr:col>25</xdr:col>
      <xdr:colOff>17124</xdr:colOff>
      <xdr:row>31</xdr:row>
      <xdr:rowOff>0</xdr:rowOff>
    </xdr:to>
    <xdr:graphicFrame macro="">
      <xdr:nvGraphicFramePr>
        <xdr:cNvPr id="9" name="Chart 8">
          <a:extLst>
            <a:ext uri="{FF2B5EF4-FFF2-40B4-BE49-F238E27FC236}">
              <a16:creationId xmlns:a16="http://schemas.microsoft.com/office/drawing/2014/main" id="{301369DC-E1CF-4540-B59C-8CBB86519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198120</xdr:colOff>
      <xdr:row>0</xdr:row>
      <xdr:rowOff>106681</xdr:rowOff>
    </xdr:from>
    <xdr:to>
      <xdr:col>19</xdr:col>
      <xdr:colOff>198120</xdr:colOff>
      <xdr:row>9</xdr:row>
      <xdr:rowOff>144781</xdr:rowOff>
    </xdr:to>
    <mc:AlternateContent xmlns:mc="http://schemas.openxmlformats.org/markup-compatibility/2006" xmlns:a14="http://schemas.microsoft.com/office/drawing/2010/main">
      <mc:Choice Requires="a14">
        <xdr:graphicFrame macro="">
          <xdr:nvGraphicFramePr>
            <xdr:cNvPr id="2" name="Job Title">
              <a:extLst>
                <a:ext uri="{FF2B5EF4-FFF2-40B4-BE49-F238E27FC236}">
                  <a16:creationId xmlns:a16="http://schemas.microsoft.com/office/drawing/2014/main" id="{BA642DB2-CC44-C608-2A24-C7DF6C9E18C9}"/>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5026640" y="10668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19</xdr:row>
      <xdr:rowOff>15241</xdr:rowOff>
    </xdr:from>
    <xdr:to>
      <xdr:col>19</xdr:col>
      <xdr:colOff>228600</xdr:colOff>
      <xdr:row>25</xdr:row>
      <xdr:rowOff>99060</xdr:rowOff>
    </xdr:to>
    <mc:AlternateContent xmlns:mc="http://schemas.openxmlformats.org/markup-compatibility/2006" xmlns:a14="http://schemas.microsoft.com/office/drawing/2010/main">
      <mc:Choice Requires="a14">
        <xdr:graphicFrame macro="">
          <xdr:nvGraphicFramePr>
            <xdr:cNvPr id="3" name="ATS Readiness">
              <a:extLst>
                <a:ext uri="{FF2B5EF4-FFF2-40B4-BE49-F238E27FC236}">
                  <a16:creationId xmlns:a16="http://schemas.microsoft.com/office/drawing/2014/main" id="{C8289EF2-D249-6BE5-D089-65B368D14B91}"/>
                </a:ext>
              </a:extLst>
            </xdr:cNvPr>
            <xdr:cNvGraphicFramePr/>
          </xdr:nvGraphicFramePr>
          <xdr:xfrm>
            <a:off x="0" y="0"/>
            <a:ext cx="0" cy="0"/>
          </xdr:xfrm>
          <a:graphic>
            <a:graphicData uri="http://schemas.microsoft.com/office/drawing/2010/slicer">
              <sle:slicer xmlns:sle="http://schemas.microsoft.com/office/drawing/2010/slicer" name="ATS Readiness"/>
            </a:graphicData>
          </a:graphic>
        </xdr:graphicFrame>
      </mc:Choice>
      <mc:Fallback xmlns="">
        <xdr:sp macro="" textlink="">
          <xdr:nvSpPr>
            <xdr:cNvPr id="0" name=""/>
            <xdr:cNvSpPr>
              <a:spLocks noTextEdit="1"/>
            </xdr:cNvSpPr>
          </xdr:nvSpPr>
          <xdr:spPr>
            <a:xfrm>
              <a:off x="15057120" y="348996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213360</xdr:colOff>
      <xdr:row>10</xdr:row>
      <xdr:rowOff>76201</xdr:rowOff>
    </xdr:from>
    <xdr:to>
      <xdr:col>19</xdr:col>
      <xdr:colOff>213360</xdr:colOff>
      <xdr:row>18</xdr:row>
      <xdr:rowOff>76201</xdr:rowOff>
    </xdr:to>
    <mc:AlternateContent xmlns:mc="http://schemas.openxmlformats.org/markup-compatibility/2006" xmlns:a14="http://schemas.microsoft.com/office/drawing/2010/main">
      <mc:Choice Requires="a14">
        <xdr:graphicFrame macro="">
          <xdr:nvGraphicFramePr>
            <xdr:cNvPr id="4" name="Match Score Buckets">
              <a:extLst>
                <a:ext uri="{FF2B5EF4-FFF2-40B4-BE49-F238E27FC236}">
                  <a16:creationId xmlns:a16="http://schemas.microsoft.com/office/drawing/2014/main" id="{FD0909EE-C0A8-2D8F-309B-2D69827661FA}"/>
                </a:ext>
              </a:extLst>
            </xdr:cNvPr>
            <xdr:cNvGraphicFramePr/>
          </xdr:nvGraphicFramePr>
          <xdr:xfrm>
            <a:off x="0" y="0"/>
            <a:ext cx="0" cy="0"/>
          </xdr:xfrm>
          <a:graphic>
            <a:graphicData uri="http://schemas.microsoft.com/office/drawing/2010/slicer">
              <sle:slicer xmlns:sle="http://schemas.microsoft.com/office/drawing/2010/slicer" name="Match Score Buckets"/>
            </a:graphicData>
          </a:graphic>
        </xdr:graphicFrame>
      </mc:Choice>
      <mc:Fallback xmlns="">
        <xdr:sp macro="" textlink="">
          <xdr:nvSpPr>
            <xdr:cNvPr id="0" name=""/>
            <xdr:cNvSpPr>
              <a:spLocks noTextEdit="1"/>
            </xdr:cNvSpPr>
          </xdr:nvSpPr>
          <xdr:spPr>
            <a:xfrm>
              <a:off x="15041880" y="190500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3810</xdr:rowOff>
    </xdr:from>
    <xdr:to>
      <xdr:col>3</xdr:col>
      <xdr:colOff>434340</xdr:colOff>
      <xdr:row>40</xdr:row>
      <xdr:rowOff>3810</xdr:rowOff>
    </xdr:to>
    <xdr:graphicFrame macro="">
      <xdr:nvGraphicFramePr>
        <xdr:cNvPr id="5" name="Chart 4">
          <a:extLst>
            <a:ext uri="{FF2B5EF4-FFF2-40B4-BE49-F238E27FC236}">
              <a16:creationId xmlns:a16="http://schemas.microsoft.com/office/drawing/2014/main" id="{F0547F51-5243-8FE5-01D5-972C863C6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518160</xdr:colOff>
      <xdr:row>26</xdr:row>
      <xdr:rowOff>41910</xdr:rowOff>
    </xdr:from>
    <xdr:to>
      <xdr:col>19</xdr:col>
      <xdr:colOff>213360</xdr:colOff>
      <xdr:row>41</xdr:row>
      <xdr:rowOff>41910</xdr:rowOff>
    </xdr:to>
    <xdr:graphicFrame macro="">
      <xdr:nvGraphicFramePr>
        <xdr:cNvPr id="6" name="Chart 5">
          <a:extLst>
            <a:ext uri="{FF2B5EF4-FFF2-40B4-BE49-F238E27FC236}">
              <a16:creationId xmlns:a16="http://schemas.microsoft.com/office/drawing/2014/main" id="{FE51E5DA-3CDA-9C9F-C1BB-B28ECED5D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24</xdr:row>
      <xdr:rowOff>171450</xdr:rowOff>
    </xdr:from>
    <xdr:to>
      <xdr:col>11</xdr:col>
      <xdr:colOff>426720</xdr:colOff>
      <xdr:row>39</xdr:row>
      <xdr:rowOff>171450</xdr:rowOff>
    </xdr:to>
    <xdr:graphicFrame macro="">
      <xdr:nvGraphicFramePr>
        <xdr:cNvPr id="7" name="Chart 6">
          <a:extLst>
            <a:ext uri="{FF2B5EF4-FFF2-40B4-BE49-F238E27FC236}">
              <a16:creationId xmlns:a16="http://schemas.microsoft.com/office/drawing/2014/main" id="{146ECF37-0526-0769-20E9-905CAF603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541020</xdr:colOff>
      <xdr:row>12</xdr:row>
      <xdr:rowOff>49530</xdr:rowOff>
    </xdr:from>
    <xdr:to>
      <xdr:col>6</xdr:col>
      <xdr:colOff>30480</xdr:colOff>
      <xdr:row>27</xdr:row>
      <xdr:rowOff>49530</xdr:rowOff>
    </xdr:to>
    <xdr:graphicFrame macro="">
      <xdr:nvGraphicFramePr>
        <xdr:cNvPr id="8" name="Chart 7">
          <a:extLst>
            <a:ext uri="{FF2B5EF4-FFF2-40B4-BE49-F238E27FC236}">
              <a16:creationId xmlns:a16="http://schemas.microsoft.com/office/drawing/2014/main" id="{9DD018A8-4F73-2285-C6CF-45F318FA2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548640</xdr:colOff>
      <xdr:row>11</xdr:row>
      <xdr:rowOff>156210</xdr:rowOff>
    </xdr:from>
    <xdr:to>
      <xdr:col>11</xdr:col>
      <xdr:colOff>259080</xdr:colOff>
      <xdr:row>26</xdr:row>
      <xdr:rowOff>156210</xdr:rowOff>
    </xdr:to>
    <xdr:graphicFrame macro="">
      <xdr:nvGraphicFramePr>
        <xdr:cNvPr id="9" name="Chart 8">
          <a:extLst>
            <a:ext uri="{FF2B5EF4-FFF2-40B4-BE49-F238E27FC236}">
              <a16:creationId xmlns:a16="http://schemas.microsoft.com/office/drawing/2014/main" id="{8023A57B-3183-791E-AC56-66FA00A57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mohan R" refreshedDate="45992.767789814818" createdVersion="8" refreshedVersion="8" minRefreshableVersion="3" recordCount="100" xr:uid="{E5925C24-F1C0-43E8-9BD9-B2979ECA0C32}">
  <cacheSource type="worksheet">
    <worksheetSource name="tblCandidates1"/>
  </cacheSource>
  <cacheFields count="8">
    <cacheField name="Candidate Name" numFmtId="0">
      <sharedItems/>
    </cacheField>
    <cacheField name="Skills" numFmtId="0">
      <sharedItems/>
    </cacheField>
    <cacheField name="Job Title" numFmtId="0">
      <sharedItems count="5">
        <s v="Data Analyst"/>
        <s v="Software Engineer"/>
        <s v="Project Manager"/>
        <s v="Marketing Specialist"/>
        <s v="Sales Executive"/>
      </sharedItems>
    </cacheField>
    <cacheField name="Job Keywords" numFmtId="0">
      <sharedItems/>
    </cacheField>
    <cacheField name="Match Score (%)" numFmtId="0">
      <sharedItems containsSemiMixedTypes="0" containsString="0" containsNumber="1" minValue="16.666666666666664" maxValue="80"/>
    </cacheField>
    <cacheField name="ATS Readiness" numFmtId="0">
      <sharedItems count="3">
        <s v="Medium"/>
        <s v="Low"/>
        <s v="High"/>
      </sharedItems>
    </cacheField>
    <cacheField name="Improvement Suggestions" numFmtId="0">
      <sharedItems/>
    </cacheField>
    <cacheField name="Match Score Buckets" numFmtId="0">
      <sharedItems count="4">
        <s v="41-60"/>
        <s v="21-40"/>
        <s v="61-80"/>
        <s v="0-20"/>
      </sharedItems>
    </cacheField>
  </cacheFields>
  <extLst>
    <ext xmlns:x14="http://schemas.microsoft.com/office/spreadsheetml/2009/9/main" uri="{725AE2AE-9491-48be-B2B4-4EB974FC3084}">
      <x14:pivotCacheDefinition pivotCacheId="1916774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John Smith"/>
    <s v="Python, SQL, Excel"/>
    <x v="0"/>
    <s v="Python, SQL, Excel, Tableau, R"/>
    <n v="60"/>
    <x v="0"/>
    <s v="Tableau, R"/>
    <x v="0"/>
  </r>
  <r>
    <s v="Emma Johnson"/>
    <s v="Java, C++, Python"/>
    <x v="1"/>
    <s v="Python, Java, C++, HTML, CSS, JavaScript"/>
    <n v="33.333333333333329"/>
    <x v="1"/>
    <s v="HTML, CSS, JavaScript"/>
    <x v="1"/>
  </r>
  <r>
    <s v="Michael Brown"/>
    <s v="Project Management, Leadership"/>
    <x v="2"/>
    <s v="Project Management, Leadership, Communication, Excel"/>
    <n v="50"/>
    <x v="0"/>
    <s v="Communication, Excel"/>
    <x v="0"/>
  </r>
  <r>
    <s v="Olivia Jones"/>
    <s v="Marketing, Communication, Sales"/>
    <x v="3"/>
    <s v="Marketing, Communication, Sales, Excel, PowerPoint"/>
    <n v="60"/>
    <x v="0"/>
    <s v="Excel, PowerPoint"/>
    <x v="0"/>
  </r>
  <r>
    <s v="William Garcia"/>
    <s v="Sales, Customer Service, Communication"/>
    <x v="4"/>
    <s v="Sales, Customer Service, Communication, Excel"/>
    <n v="75"/>
    <x v="2"/>
    <s v="Excel"/>
    <x v="2"/>
  </r>
  <r>
    <s v="Sophia Martinez"/>
    <s v="Python, Excel, R"/>
    <x v="0"/>
    <s v="Python, SQL, Excel, Tableau, R"/>
    <n v="60"/>
    <x v="0"/>
    <s v="SQL, Tableau"/>
    <x v="0"/>
  </r>
  <r>
    <s v="James Rodriguez"/>
    <s v="Java, HTML, CSS"/>
    <x v="1"/>
    <s v="Python, Java, C++, HTML, CSS, JavaScript"/>
    <n v="33.333333333333329"/>
    <x v="1"/>
    <s v="Python, C++, JavaScript"/>
    <x v="1"/>
  </r>
  <r>
    <s v="Isabella Lee"/>
    <s v="Leadership, Communication"/>
    <x v="2"/>
    <s v="Project Management, Leadership, Communication, Excel"/>
    <n v="25"/>
    <x v="1"/>
    <s v="Project Management, Excel"/>
    <x v="1"/>
  </r>
  <r>
    <s v="Benjamin Walker"/>
    <s v="Marketing, PowerPoint, Excel"/>
    <x v="3"/>
    <s v="Marketing, Communication, Sales, Excel, PowerPoint"/>
    <n v="60"/>
    <x v="0"/>
    <s v="Communication, Sales"/>
    <x v="0"/>
  </r>
  <r>
    <s v="Mia Hall"/>
    <s v="Sales, Excel"/>
    <x v="4"/>
    <s v="Sales, Customer Service, Communication, Excel"/>
    <n v="50"/>
    <x v="0"/>
    <s v="Customer Service, Communication"/>
    <x v="0"/>
  </r>
  <r>
    <s v="Alexander Allen"/>
    <s v="Python, Tableau, SQL"/>
    <x v="0"/>
    <s v="Python, SQL, Excel, Tableau, R"/>
    <n v="60"/>
    <x v="0"/>
    <s v="Excel, R"/>
    <x v="0"/>
  </r>
  <r>
    <s v="Charlotte Young"/>
    <s v="Java, C++, AWS"/>
    <x v="1"/>
    <s v="Python, Java, C++, HTML, CSS, JavaScript"/>
    <n v="16.666666666666664"/>
    <x v="1"/>
    <s v="Python, HTML, CSS, JavaScript"/>
    <x v="3"/>
  </r>
  <r>
    <s v="Daniel Hernandez"/>
    <s v="Project Management, Excel, Communication"/>
    <x v="2"/>
    <s v="Project Management, Leadership, Communication, Excel"/>
    <n v="75"/>
    <x v="2"/>
    <s v="Leadership"/>
    <x v="2"/>
  </r>
  <r>
    <s v="Amelia King"/>
    <s v="Marketing, Sales, Communication"/>
    <x v="3"/>
    <s v="Marketing, Communication, Sales, Excel, PowerPoint"/>
    <n v="60"/>
    <x v="0"/>
    <s v="Excel, PowerPoint"/>
    <x v="0"/>
  </r>
  <r>
    <s v="Matthew Wright"/>
    <s v="Sales, Customer Service, Excel"/>
    <x v="4"/>
    <s v="Sales, Customer Service, Communication, Excel"/>
    <n v="75"/>
    <x v="2"/>
    <s v="Communication"/>
    <x v="2"/>
  </r>
  <r>
    <s v="Harper Scott"/>
    <s v="Python, SQL, R"/>
    <x v="0"/>
    <s v="Python, SQL, Excel, Tableau, R"/>
    <n v="60"/>
    <x v="0"/>
    <s v="Excel, Tableau"/>
    <x v="0"/>
  </r>
  <r>
    <s v="Joseph Green"/>
    <s v="Java, CSS, JavaScript"/>
    <x v="1"/>
    <s v="Python, Java, C++, HTML, CSS, JavaScript"/>
    <n v="50"/>
    <x v="0"/>
    <s v="Python, C++, HTML"/>
    <x v="0"/>
  </r>
  <r>
    <s v="Evelyn Adams"/>
    <s v="Leadership, Project Management"/>
    <x v="2"/>
    <s v="Project Management, Leadership, Communication, Excel"/>
    <n v="25"/>
    <x v="1"/>
    <s v="Communication, Excel"/>
    <x v="1"/>
  </r>
  <r>
    <s v="David Baker"/>
    <s v="Marketing, PowerPoint, Communication"/>
    <x v="3"/>
    <s v="Marketing, Communication, Sales, Excel, PowerPoint"/>
    <n v="60"/>
    <x v="0"/>
    <s v="Sales, Excel"/>
    <x v="0"/>
  </r>
  <r>
    <s v="Abigail Nelson"/>
    <s v="Sales, Communication, Excel"/>
    <x v="4"/>
    <s v="Sales, Customer Service, Communication, Excel"/>
    <n v="75"/>
    <x v="2"/>
    <s v="Customer Service"/>
    <x v="2"/>
  </r>
  <r>
    <s v="Samuel Carter"/>
    <s v="Python, SQL, Excel, Tableau"/>
    <x v="0"/>
    <s v="Python, SQL, Excel, Tableau, R"/>
    <n v="80"/>
    <x v="2"/>
    <s v="R"/>
    <x v="2"/>
  </r>
  <r>
    <s v="Ella Mitchell"/>
    <s v="Java, C++, HTML"/>
    <x v="1"/>
    <s v="Python, Java, C++, HTML, CSS, JavaScript"/>
    <n v="33.333333333333329"/>
    <x v="1"/>
    <s v="Python, CSS, JavaScript"/>
    <x v="1"/>
  </r>
  <r>
    <s v="Christopher Perez"/>
    <s v="Project Management, Leadership, Communication"/>
    <x v="2"/>
    <s v="Project Management, Leadership, Communication, Excel"/>
    <n v="75"/>
    <x v="2"/>
    <s v="Excel"/>
    <x v="2"/>
  </r>
  <r>
    <s v="Lily Roberts"/>
    <s v="Marketing, Sales, PowerPoint"/>
    <x v="3"/>
    <s v="Marketing, Communication, Sales, Excel, PowerPoint"/>
    <n v="60"/>
    <x v="0"/>
    <s v="Communication, Excel"/>
    <x v="0"/>
  </r>
  <r>
    <s v="Andrew Turner"/>
    <s v="Sales, Customer Service, Communication"/>
    <x v="4"/>
    <s v="Sales, Customer Service, Communication, Excel"/>
    <n v="75"/>
    <x v="2"/>
    <s v="Excel"/>
    <x v="2"/>
  </r>
  <r>
    <s v="Scarlett Phillips"/>
    <s v="Python, R, Tableau"/>
    <x v="0"/>
    <s v="Python, SQL, Excel, Tableau, R"/>
    <n v="60"/>
    <x v="0"/>
    <s v="SQL, Excel"/>
    <x v="0"/>
  </r>
  <r>
    <s v="Joshua Campbell"/>
    <s v="Java, JavaScript, CSS"/>
    <x v="1"/>
    <s v="Python, Java, C++, HTML, CSS, JavaScript"/>
    <n v="50"/>
    <x v="0"/>
    <s v="Python, C++, HTML"/>
    <x v="0"/>
  </r>
  <r>
    <s v="Grace Parker"/>
    <s v="Leadership, Excel, Communication"/>
    <x v="2"/>
    <s v="Project Management, Leadership, Communication, Excel"/>
    <n v="50"/>
    <x v="0"/>
    <s v="Project Management"/>
    <x v="0"/>
  </r>
  <r>
    <s v="Nathan Evans"/>
    <s v="Marketing, Excel, PowerPoint"/>
    <x v="3"/>
    <s v="Marketing, Communication, Sales, Excel, PowerPoint"/>
    <n v="60"/>
    <x v="0"/>
    <s v="Communication, Sales"/>
    <x v="0"/>
  </r>
  <r>
    <s v="Victoria Edwards"/>
    <s v="Sales, Communication, Customer Service"/>
    <x v="4"/>
    <s v="Sales, Customer Service, Communication, Excel"/>
    <n v="75"/>
    <x v="2"/>
    <s v="Excel"/>
    <x v="2"/>
  </r>
  <r>
    <s v="Ryan Collins"/>
    <s v="Python, SQL, Excel, R"/>
    <x v="0"/>
    <s v="Python, SQL, Excel, Tableau, R"/>
    <n v="80"/>
    <x v="2"/>
    <s v="Tableau"/>
    <x v="2"/>
  </r>
  <r>
    <s v="Aria Stewart"/>
    <s v="Java, C++, AWS, HTML"/>
    <x v="1"/>
    <s v="Python, Java, C++, HTML, CSS, JavaScript"/>
    <n v="33.333333333333329"/>
    <x v="1"/>
    <s v="Python, CSS, JavaScript"/>
    <x v="1"/>
  </r>
  <r>
    <s v="Jacob Sanchez"/>
    <s v="Project Management, Leadership, Excel"/>
    <x v="2"/>
    <s v="Project Management, Leadership, Communication, Excel"/>
    <n v="75"/>
    <x v="2"/>
    <s v="Communication"/>
    <x v="2"/>
  </r>
  <r>
    <s v="Zoey Morris"/>
    <s v="Marketing, Communication, PowerPoint"/>
    <x v="3"/>
    <s v="Marketing, Communication, Sales, Excel, PowerPoint"/>
    <n v="60"/>
    <x v="0"/>
    <s v="Sales, Excel"/>
    <x v="0"/>
  </r>
  <r>
    <s v="Anthony Rogers"/>
    <s v="Sales, Customer Service, Excel"/>
    <x v="4"/>
    <s v="Sales, Customer Service, Communication, Excel"/>
    <n v="75"/>
    <x v="2"/>
    <s v="Communication"/>
    <x v="2"/>
  </r>
  <r>
    <s v="Hannah Reed"/>
    <s v="Python, Tableau, R"/>
    <x v="0"/>
    <s v="Python, SQL, Excel, Tableau, R"/>
    <n v="60"/>
    <x v="0"/>
    <s v="SQL, Excel"/>
    <x v="0"/>
  </r>
  <r>
    <s v="Dylan Cook"/>
    <s v="Java, HTML, CSS, JavaScript"/>
    <x v="1"/>
    <s v="Python, Java, C++, HTML, CSS, JavaScript"/>
    <n v="66.666666666666657"/>
    <x v="2"/>
    <s v="Python, C++"/>
    <x v="2"/>
  </r>
  <r>
    <s v="Natalie Morgan"/>
    <s v="Leadership, Project Management, Communication"/>
    <x v="2"/>
    <s v="Project Management, Leadership, Communication, Excel"/>
    <n v="50"/>
    <x v="0"/>
    <s v="Excel"/>
    <x v="0"/>
  </r>
  <r>
    <s v="Jonathan Bell"/>
    <s v="Marketing, Excel, Sales"/>
    <x v="3"/>
    <s v="Marketing, Communication, Sales, Excel, PowerPoint"/>
    <n v="60"/>
    <x v="0"/>
    <s v="Communication, PowerPoint"/>
    <x v="0"/>
  </r>
  <r>
    <s v="Chloe Murphy"/>
    <s v="Sales, Communication, Excel"/>
    <x v="4"/>
    <s v="Sales, Customer Service, Communication, Excel"/>
    <n v="75"/>
    <x v="2"/>
    <s v="Customer Service"/>
    <x v="2"/>
  </r>
  <r>
    <s v="Kevin Bailey"/>
    <s v="Python, SQL, Tableau, Excel"/>
    <x v="0"/>
    <s v="Python, SQL, Excel, Tableau, R"/>
    <n v="80"/>
    <x v="2"/>
    <s v="R"/>
    <x v="2"/>
  </r>
  <r>
    <s v="Nora Rivera"/>
    <s v="Java, C++, CSS, AWS"/>
    <x v="1"/>
    <s v="Python, Java, C++, HTML, CSS, JavaScript"/>
    <n v="33.333333333333329"/>
    <x v="1"/>
    <s v="Python, HTML, JavaScript"/>
    <x v="1"/>
  </r>
  <r>
    <s v="Thomas Cooper"/>
    <s v="Project Management, Leadership, Excel"/>
    <x v="2"/>
    <s v="Project Management, Leadership, Communication, Excel"/>
    <n v="75"/>
    <x v="2"/>
    <s v="Communication"/>
    <x v="2"/>
  </r>
  <r>
    <s v="Stella Richardson"/>
    <s v="Marketing, Communication, PowerPoint"/>
    <x v="3"/>
    <s v="Marketing, Communication, Sales, Excel, PowerPoint"/>
    <n v="60"/>
    <x v="0"/>
    <s v="Sales, Excel"/>
    <x v="0"/>
  </r>
  <r>
    <s v="Luke Cox"/>
    <s v="Sales, Customer Service, Communication"/>
    <x v="4"/>
    <s v="Sales, Customer Service, Communication, Excel"/>
    <n v="75"/>
    <x v="2"/>
    <s v="Excel"/>
    <x v="2"/>
  </r>
  <r>
    <s v="Audrey Howard"/>
    <s v="Python, R, SQL"/>
    <x v="0"/>
    <s v="Python, SQL, Excel, Tableau, R"/>
    <n v="60"/>
    <x v="0"/>
    <s v="Excel, Tableau"/>
    <x v="0"/>
  </r>
  <r>
    <s v="Brandon Ward"/>
    <s v="Java, HTML, CSS, JavaScript"/>
    <x v="1"/>
    <s v="Python, Java, C++, HTML, CSS, JavaScript"/>
    <n v="66.666666666666657"/>
    <x v="2"/>
    <s v="Python, C++"/>
    <x v="2"/>
  </r>
  <r>
    <s v="Ellie Peterson"/>
    <s v="Leadership, Project Management, Excel"/>
    <x v="2"/>
    <s v="Project Management, Leadership, Communication, Excel"/>
    <n v="50"/>
    <x v="0"/>
    <s v="Communication"/>
    <x v="0"/>
  </r>
  <r>
    <s v="Justin Gray"/>
    <s v="Marketing, PowerPoint, Communication"/>
    <x v="3"/>
    <s v="Marketing, Communication, Sales, Excel, PowerPoint"/>
    <n v="60"/>
    <x v="0"/>
    <s v="Sales, Excel"/>
    <x v="0"/>
  </r>
  <r>
    <s v="Claire James"/>
    <s v="Sales, Communication, Excel"/>
    <x v="4"/>
    <s v="Sales, Customer Service, Communication, Excel"/>
    <n v="75"/>
    <x v="2"/>
    <s v="Customer Service"/>
    <x v="2"/>
  </r>
  <r>
    <s v="Ethan Walker"/>
    <s v="Python, SQL, Excel"/>
    <x v="0"/>
    <s v="Python, SQL, Excel, Tableau, R"/>
    <n v="60"/>
    <x v="0"/>
    <s v="Tableau, R"/>
    <x v="0"/>
  </r>
  <r>
    <s v="Lily Thompson"/>
    <s v="Java, C++, Python"/>
    <x v="1"/>
    <s v="Python, Java, C++, HTML, CSS, JavaScript"/>
    <n v="33.333333333333329"/>
    <x v="1"/>
    <s v="HTML, CSS, JavaScript"/>
    <x v="1"/>
  </r>
  <r>
    <s v="Mason King"/>
    <s v="Project Management, Leadership"/>
    <x v="2"/>
    <s v="Project Management, Leadership, Communication, Excel"/>
    <n v="50"/>
    <x v="0"/>
    <s v="Communication, Excel"/>
    <x v="0"/>
  </r>
  <r>
    <s v="Zoe Hill"/>
    <s v="Marketing, Communication, Sales"/>
    <x v="3"/>
    <s v="Marketing, Communication, Sales, Excel, PowerPoint"/>
    <n v="60"/>
    <x v="0"/>
    <s v="Excel, PowerPoint"/>
    <x v="0"/>
  </r>
  <r>
    <s v="Logan Scott"/>
    <s v="Sales, Customer Service, Communication"/>
    <x v="4"/>
    <s v="Sales, Customer Service, Communication, Excel"/>
    <n v="75"/>
    <x v="2"/>
    <s v="Excel"/>
    <x v="2"/>
  </r>
  <r>
    <s v="Grace Adams"/>
    <s v="Python, Excel, R"/>
    <x v="0"/>
    <s v="Python, SQL, Excel, Tableau, R"/>
    <n v="60"/>
    <x v="0"/>
    <s v="SQL, Tableau"/>
    <x v="0"/>
  </r>
  <r>
    <s v="Lucas Baker"/>
    <s v="Java, HTML, CSS"/>
    <x v="1"/>
    <s v="Python, Java, C++, HTML, CSS, JavaScript"/>
    <n v="33.333333333333329"/>
    <x v="1"/>
    <s v="Python, C++, JavaScript"/>
    <x v="1"/>
  </r>
  <r>
    <s v="Aria Nelson"/>
    <s v="Leadership, Communication"/>
    <x v="2"/>
    <s v="Project Management, Leadership, Communication, Excel"/>
    <n v="25"/>
    <x v="1"/>
    <s v="Project Management, Excel"/>
    <x v="1"/>
  </r>
  <r>
    <s v="Jackson Carter"/>
    <s v="Marketing, PowerPoint, Excel"/>
    <x v="3"/>
    <s v="Marketing, Communication, Sales, Excel, PowerPoint"/>
    <n v="60"/>
    <x v="0"/>
    <s v="Communication, Sales"/>
    <x v="0"/>
  </r>
  <r>
    <s v="Chloe Mitchell"/>
    <s v="Sales, Excel"/>
    <x v="4"/>
    <s v="Sales, Customer Service, Communication, Excel"/>
    <n v="50"/>
    <x v="0"/>
    <s v="Customer Service, Communication"/>
    <x v="0"/>
  </r>
  <r>
    <s v="Aiden Perez"/>
    <s v="Python, Tableau, SQL"/>
    <x v="0"/>
    <s v="Python, SQL, Excel, Tableau, R"/>
    <n v="60"/>
    <x v="0"/>
    <s v="Excel, R"/>
    <x v="0"/>
  </r>
  <r>
    <s v="Ella Roberts"/>
    <s v="Java, C++, AWS"/>
    <x v="1"/>
    <s v="Python, Java, C++, HTML, CSS, JavaScript"/>
    <n v="16.666666666666664"/>
    <x v="1"/>
    <s v="Python, HTML, CSS, JavaScript"/>
    <x v="3"/>
  </r>
  <r>
    <s v="Elijah Turner"/>
    <s v="Project Management, Excel, Communication"/>
    <x v="2"/>
    <s v="Project Management, Leadership, Communication, Excel"/>
    <n v="75"/>
    <x v="2"/>
    <s v="Leadership"/>
    <x v="2"/>
  </r>
  <r>
    <s v="Scarlett Phillips"/>
    <s v="Marketing, Sales, Communication"/>
    <x v="3"/>
    <s v="Marketing, Communication, Sales, Excel, PowerPoint"/>
    <n v="60"/>
    <x v="0"/>
    <s v="Excel, PowerPoint"/>
    <x v="0"/>
  </r>
  <r>
    <s v="Owen Campbell"/>
    <s v="Sales, Customer Service, Excel"/>
    <x v="4"/>
    <s v="Sales, Customer Service, Communication, Excel"/>
    <n v="75"/>
    <x v="2"/>
    <s v="Communication"/>
    <x v="2"/>
  </r>
  <r>
    <s v="Victoria Parker"/>
    <s v="Python, SQL, R"/>
    <x v="0"/>
    <s v="Python, SQL, Excel, Tableau, R"/>
    <n v="60"/>
    <x v="0"/>
    <s v="Excel, Tableau"/>
    <x v="0"/>
  </r>
  <r>
    <s v="Caleb Evans"/>
    <s v="Java, CSS, JavaScript"/>
    <x v="1"/>
    <s v="Python, Java, C++, HTML, CSS, JavaScript"/>
    <n v="50"/>
    <x v="0"/>
    <s v="Python, C++, HTML"/>
    <x v="0"/>
  </r>
  <r>
    <s v="Aurora Edwards"/>
    <s v="Leadership, Project Management"/>
    <x v="2"/>
    <s v="Project Management, Leadership, Communication, Excel"/>
    <n v="25"/>
    <x v="1"/>
    <s v="Communication, Excel"/>
    <x v="1"/>
  </r>
  <r>
    <s v="Nathan Collins"/>
    <s v="Marketing, PowerPoint, Communication"/>
    <x v="3"/>
    <s v="Marketing, Communication, Sales, Excel, PowerPoint"/>
    <n v="60"/>
    <x v="0"/>
    <s v="Sales, Excel"/>
    <x v="0"/>
  </r>
  <r>
    <s v="Stella Stewart"/>
    <s v="Sales, Communication, Excel"/>
    <x v="4"/>
    <s v="Sales, Customer Service, Communication, Excel"/>
    <n v="75"/>
    <x v="2"/>
    <s v="Customer Service"/>
    <x v="2"/>
  </r>
  <r>
    <s v="Ryan Sanchez"/>
    <s v="Python, SQL, Excel, Tableau"/>
    <x v="0"/>
    <s v="Python, SQL, Excel, Tableau, R"/>
    <n v="80"/>
    <x v="2"/>
    <s v="R"/>
    <x v="2"/>
  </r>
  <r>
    <s v="Nora Morris"/>
    <s v="Java, C++, HTML"/>
    <x v="1"/>
    <s v="Python, Java, C++, HTML, CSS, JavaScript"/>
    <n v="33.333333333333329"/>
    <x v="1"/>
    <s v="Python, CSS, JavaScript"/>
    <x v="1"/>
  </r>
  <r>
    <s v="Connor Rogers"/>
    <s v="Project Management, Leadership, Communication"/>
    <x v="2"/>
    <s v="Project Management, Leadership, Communication, Excel"/>
    <n v="75"/>
    <x v="2"/>
    <s v="Excel"/>
    <x v="2"/>
  </r>
  <r>
    <s v="Leah Reed"/>
    <s v="Marketing, Sales, PowerPoint"/>
    <x v="3"/>
    <s v="Marketing, Communication, Sales, Excel, PowerPoint"/>
    <n v="60"/>
    <x v="0"/>
    <s v="Communication, Excel"/>
    <x v="0"/>
  </r>
  <r>
    <s v="Dylan Cook"/>
    <s v="Sales, Customer Service, Communication"/>
    <x v="4"/>
    <s v="Sales, Customer Service, Communication, Excel"/>
    <n v="75"/>
    <x v="2"/>
    <s v="Excel"/>
    <x v="2"/>
  </r>
  <r>
    <s v="Hannah Morgan"/>
    <s v="Python, R, Tableau"/>
    <x v="0"/>
    <s v="Python, SQL, Excel, Tableau, R"/>
    <n v="60"/>
    <x v="0"/>
    <s v="SQL, Excel"/>
    <x v="0"/>
  </r>
  <r>
    <s v="Samuel Bell"/>
    <s v="Java, JavaScript, CSS"/>
    <x v="1"/>
    <s v="Python, Java, C++, HTML, CSS, JavaScript"/>
    <n v="50"/>
    <x v="0"/>
    <s v="Python, C++, HTML"/>
    <x v="0"/>
  </r>
  <r>
    <s v="Audrey Murphy"/>
    <s v="Leadership, Excel, Communication"/>
    <x v="2"/>
    <s v="Project Management, Leadership, Communication, Excel"/>
    <n v="50"/>
    <x v="0"/>
    <s v="Project Management"/>
    <x v="0"/>
  </r>
  <r>
    <s v="Isaac Bailey"/>
    <s v="Marketing, Excel, PowerPoint"/>
    <x v="3"/>
    <s v="Marketing, Communication, Sales, Excel, PowerPoint"/>
    <n v="60"/>
    <x v="0"/>
    <s v="Communication, Sales"/>
    <x v="0"/>
  </r>
  <r>
    <s v="Ellie Rivera"/>
    <s v="Sales, Communication, Customer Service"/>
    <x v="4"/>
    <s v="Sales, Customer Service, Communication, Excel"/>
    <n v="75"/>
    <x v="2"/>
    <s v="Excel"/>
    <x v="2"/>
  </r>
  <r>
    <s v="Gabriel Cooper"/>
    <s v="Python, SQL, Excel, R"/>
    <x v="0"/>
    <s v="Python, SQL, Excel, Tableau, R"/>
    <n v="80"/>
    <x v="2"/>
    <s v="Tableau"/>
    <x v="2"/>
  </r>
  <r>
    <s v="Clara Richardson"/>
    <s v="Java, C++, AWS, HTML"/>
    <x v="1"/>
    <s v="Python, Java, C++, HTML, CSS, JavaScript"/>
    <n v="33.333333333333329"/>
    <x v="1"/>
    <s v="Python, CSS, JavaScript"/>
    <x v="1"/>
  </r>
  <r>
    <s v="Anthony Cox"/>
    <s v="Project Management, Leadership, Excel"/>
    <x v="2"/>
    <s v="Project Management, Leadership, Communication, Excel"/>
    <n v="75"/>
    <x v="2"/>
    <s v="Communication"/>
    <x v="2"/>
  </r>
  <r>
    <s v="Lillian Howard"/>
    <s v="Marketing, Communication, PowerPoint"/>
    <x v="3"/>
    <s v="Marketing, Communication, Sales, Excel, PowerPoint"/>
    <n v="60"/>
    <x v="0"/>
    <s v="Sales, Excel"/>
    <x v="0"/>
  </r>
  <r>
    <s v="Christian Ward"/>
    <s v="Sales, Customer Service, Excel"/>
    <x v="4"/>
    <s v="Sales, Customer Service, Communication, Excel"/>
    <n v="75"/>
    <x v="2"/>
    <s v="Communication"/>
    <x v="2"/>
  </r>
  <r>
    <s v="Penelope Peterson"/>
    <s v="Python, Tableau, R"/>
    <x v="0"/>
    <s v="Python, SQL, Excel, Tableau, R"/>
    <n v="60"/>
    <x v="0"/>
    <s v="SQL, Excel"/>
    <x v="0"/>
  </r>
  <r>
    <s v="Cameron Gray"/>
    <s v="Java, HTML, CSS, JavaScript"/>
    <x v="1"/>
    <s v="Python, Java, C++, HTML, CSS, JavaScript"/>
    <n v="66.666666666666657"/>
    <x v="2"/>
    <s v="Python, C++"/>
    <x v="2"/>
  </r>
  <r>
    <s v="Alice James"/>
    <s v="Leadership, Project Management, Communication"/>
    <x v="2"/>
    <s v="Project Management, Leadership, Communication, Excel"/>
    <n v="50"/>
    <x v="0"/>
    <s v="Excel"/>
    <x v="0"/>
  </r>
  <r>
    <s v="Wyatt Hughes"/>
    <s v="Marketing, Excel, Sales"/>
    <x v="3"/>
    <s v="Marketing, Communication, Sales, Excel, PowerPoint"/>
    <n v="60"/>
    <x v="0"/>
    <s v="Communication, PowerPoint"/>
    <x v="0"/>
  </r>
  <r>
    <s v="Naomi Kelly"/>
    <s v="Sales, Communication, Excel"/>
    <x v="4"/>
    <s v="Sales, Customer Service, Communication, Excel"/>
    <n v="75"/>
    <x v="2"/>
    <s v="Customer Service"/>
    <x v="2"/>
  </r>
  <r>
    <s v="Leo Price"/>
    <s v="Python, SQL, Tableau, Excel"/>
    <x v="0"/>
    <s v="Python, SQL, Excel, Tableau, R"/>
    <n v="80"/>
    <x v="2"/>
    <s v="R"/>
    <x v="2"/>
  </r>
  <r>
    <s v="Ruby Sanders"/>
    <s v="Java, C++, CSS, AWS"/>
    <x v="1"/>
    <s v="Python, Java, C++, HTML, CSS, JavaScript"/>
    <n v="33.333333333333329"/>
    <x v="1"/>
    <s v="Python, HTML, JavaScript"/>
    <x v="1"/>
  </r>
  <r>
    <s v="Julian Bennett"/>
    <s v="Project Management, Leadership, Excel"/>
    <x v="2"/>
    <s v="Project Management, Leadership, Communication, Excel"/>
    <n v="75"/>
    <x v="2"/>
    <s v="Communication"/>
    <x v="2"/>
  </r>
  <r>
    <s v="Sadie Foster"/>
    <s v="Marketing, Communication, PowerPoint"/>
    <x v="3"/>
    <s v="Marketing, Communication, Sales, Excel, PowerPoint"/>
    <n v="60"/>
    <x v="0"/>
    <s v="Sales, Excel"/>
    <x v="0"/>
  </r>
  <r>
    <s v="Levi Butler"/>
    <s v="Sales, Customer Service, Communication"/>
    <x v="4"/>
    <s v="Sales, Customer Service, Communication, Excel"/>
    <n v="75"/>
    <x v="2"/>
    <s v="Excel"/>
    <x v="2"/>
  </r>
  <r>
    <s v="Hazel Simmons"/>
    <s v="Python, R, SQL"/>
    <x v="0"/>
    <s v="Python, SQL, Excel, Tableau, R"/>
    <n v="60"/>
    <x v="0"/>
    <s v="Excel, Tableau"/>
    <x v="0"/>
  </r>
  <r>
    <s v="Hunter Foster"/>
    <s v="Java, HTML, CSS, JavaScript"/>
    <x v="1"/>
    <s v="Python, Java, C++, HTML, CSS, JavaScript"/>
    <n v="66.666666666666657"/>
    <x v="2"/>
    <s v="Python, C++"/>
    <x v="2"/>
  </r>
  <r>
    <s v="Violet Bryant"/>
    <s v="Leadership, Project Management, Excel"/>
    <x v="2"/>
    <s v="Project Management, Leadership, Communication, Excel"/>
    <n v="50"/>
    <x v="0"/>
    <s v="Communication"/>
    <x v="0"/>
  </r>
  <r>
    <s v="Sebastian Crawford"/>
    <s v="Marketing, PowerPoint, Communication"/>
    <x v="3"/>
    <s v="Marketing, Communication, Sales, Excel, PowerPoint"/>
    <n v="60"/>
    <x v="0"/>
    <s v="Sales, Excel"/>
    <x v="0"/>
  </r>
  <r>
    <s v="Madeline Cole"/>
    <s v="Sales, Communication, Excel"/>
    <x v="4"/>
    <s v="Sales, Customer Service, Communication, Excel"/>
    <n v="75"/>
    <x v="2"/>
    <s v="Customer Service"/>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A3C74B-470C-47D5-879A-492B0FCC36EA}"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16" firstHeaderRow="1" firstDataRow="1" firstDataCol="1"/>
  <pivotFields count="8">
    <pivotField showAll="0"/>
    <pivotField showAll="0"/>
    <pivotField axis="axisRow" showAll="0">
      <items count="6">
        <item x="0"/>
        <item x="3"/>
        <item x="2"/>
        <item x="4"/>
        <item x="1"/>
        <item t="default"/>
      </items>
    </pivotField>
    <pivotField showAll="0"/>
    <pivotField dataField="1" showAll="0"/>
    <pivotField showAll="0">
      <items count="4">
        <item x="2"/>
        <item x="1"/>
        <item x="0"/>
        <item t="default"/>
      </items>
    </pivotField>
    <pivotField showAll="0"/>
    <pivotField showAll="0">
      <items count="5">
        <item x="3"/>
        <item x="1"/>
        <item x="0"/>
        <item x="2"/>
        <item t="default"/>
      </items>
    </pivotField>
  </pivotFields>
  <rowFields count="1">
    <field x="2"/>
  </rowFields>
  <rowItems count="6">
    <i>
      <x/>
    </i>
    <i>
      <x v="1"/>
    </i>
    <i>
      <x v="2"/>
    </i>
    <i>
      <x v="3"/>
    </i>
    <i>
      <x v="4"/>
    </i>
    <i t="grand">
      <x/>
    </i>
  </rowItems>
  <colItems count="1">
    <i/>
  </colItems>
  <dataFields count="1">
    <dataField name="Average of Match Score (%)" fld="4" subtotal="average" baseField="2" baseItem="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EF55F4-F89F-4C6A-8B47-70E667C9EF2E}"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8">
    <pivotField dataField="1" showAll="0"/>
    <pivotField showAll="0"/>
    <pivotField showAll="0">
      <items count="6">
        <item x="0"/>
        <item x="3"/>
        <item x="2"/>
        <item x="4"/>
        <item x="1"/>
        <item t="default"/>
      </items>
    </pivotField>
    <pivotField showAll="0"/>
    <pivotField showAll="0"/>
    <pivotField axis="axisRow" showAll="0">
      <items count="4">
        <item x="2"/>
        <item x="1"/>
        <item x="0"/>
        <item t="default"/>
      </items>
    </pivotField>
    <pivotField showAll="0"/>
    <pivotField showAll="0">
      <items count="5">
        <item x="3"/>
        <item x="1"/>
        <item x="0"/>
        <item x="2"/>
        <item t="default"/>
      </items>
    </pivotField>
  </pivotFields>
  <rowFields count="1">
    <field x="5"/>
  </rowFields>
  <rowItems count="4">
    <i>
      <x/>
    </i>
    <i>
      <x v="1"/>
    </i>
    <i>
      <x v="2"/>
    </i>
    <i t="grand">
      <x/>
    </i>
  </rowItems>
  <colItems count="1">
    <i/>
  </colItems>
  <dataFields count="1">
    <dataField name="Count of Candidate Name"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7991E9-D3EE-41B5-A3DF-C82C92CD23E6}"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K10" firstHeaderRow="1" firstDataRow="2" firstDataCol="1"/>
  <pivotFields count="8">
    <pivotField dataField="1" showAll="0"/>
    <pivotField showAll="0"/>
    <pivotField axis="axisRow" showAll="0">
      <items count="6">
        <item x="0"/>
        <item x="3"/>
        <item x="2"/>
        <item x="4"/>
        <item x="1"/>
        <item t="default"/>
      </items>
    </pivotField>
    <pivotField showAll="0"/>
    <pivotField showAll="0"/>
    <pivotField axis="axisCol" showAll="0">
      <items count="4">
        <item x="2"/>
        <item x="1"/>
        <item x="0"/>
        <item t="default"/>
      </items>
    </pivotField>
    <pivotField showAll="0"/>
    <pivotField showAll="0">
      <items count="5">
        <item x="3"/>
        <item x="1"/>
        <item x="0"/>
        <item x="2"/>
        <item t="default"/>
      </items>
    </pivotField>
  </pivotFields>
  <rowFields count="1">
    <field x="2"/>
  </rowFields>
  <rowItems count="6">
    <i>
      <x/>
    </i>
    <i>
      <x v="1"/>
    </i>
    <i>
      <x v="2"/>
    </i>
    <i>
      <x v="3"/>
    </i>
    <i>
      <x v="4"/>
    </i>
    <i t="grand">
      <x/>
    </i>
  </rowItems>
  <colFields count="1">
    <field x="5"/>
  </colFields>
  <colItems count="4">
    <i>
      <x/>
    </i>
    <i>
      <x v="1"/>
    </i>
    <i>
      <x v="2"/>
    </i>
    <i t="grand">
      <x/>
    </i>
  </colItems>
  <dataFields count="1">
    <dataField name="Count of Candidate Name" fld="0" subtotal="count" baseField="0" baseItem="0"/>
  </dataFields>
  <chartFormats count="11">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9" format="3" series="1">
      <pivotArea type="data" outline="0" fieldPosition="0">
        <references count="2">
          <reference field="4294967294" count="1" selected="0">
            <x v="0"/>
          </reference>
          <reference field="5" count="1" selected="0">
            <x v="0"/>
          </reference>
        </references>
      </pivotArea>
    </chartFormat>
    <chartFormat chart="9" format="4" series="1">
      <pivotArea type="data" outline="0" fieldPosition="0">
        <references count="2">
          <reference field="4294967294" count="1" selected="0">
            <x v="0"/>
          </reference>
          <reference field="5" count="1" selected="0">
            <x v="1"/>
          </reference>
        </references>
      </pivotArea>
    </chartFormat>
    <chartFormat chart="9" format="5" series="1">
      <pivotArea type="data" outline="0" fieldPosition="0">
        <references count="2">
          <reference field="4294967294" count="1" selected="0">
            <x v="0"/>
          </reference>
          <reference field="5" count="1" selected="0">
            <x v="2"/>
          </reference>
        </references>
      </pivotArea>
    </chartFormat>
    <chartFormat chart="10" format="6" series="1">
      <pivotArea type="data" outline="0" fieldPosition="0">
        <references count="2">
          <reference field="4294967294" count="1" selected="0">
            <x v="0"/>
          </reference>
          <reference field="5" count="1" selected="0">
            <x v="0"/>
          </reference>
        </references>
      </pivotArea>
    </chartFormat>
    <chartFormat chart="10" format="7" series="1">
      <pivotArea type="data" outline="0" fieldPosition="0">
        <references count="2">
          <reference field="4294967294" count="1" selected="0">
            <x v="0"/>
          </reference>
          <reference field="5" count="1" selected="0">
            <x v="1"/>
          </reference>
        </references>
      </pivotArea>
    </chartFormat>
    <chartFormat chart="10"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81F8B6-B327-4756-B502-F3B66CD92F1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9" firstHeaderRow="1" firstDataRow="1" firstDataCol="1"/>
  <pivotFields count="8">
    <pivotField dataField="1" showAll="0"/>
    <pivotField showAll="0"/>
    <pivotField axis="axisRow" showAll="0">
      <items count="6">
        <item x="0"/>
        <item x="3"/>
        <item x="2"/>
        <item x="4"/>
        <item x="1"/>
        <item t="default"/>
      </items>
    </pivotField>
    <pivotField showAll="0"/>
    <pivotField showAll="0"/>
    <pivotField showAll="0">
      <items count="4">
        <item x="2"/>
        <item x="1"/>
        <item x="0"/>
        <item t="default"/>
      </items>
    </pivotField>
    <pivotField showAll="0"/>
    <pivotField showAll="0">
      <items count="5">
        <item x="3"/>
        <item x="1"/>
        <item x="0"/>
        <item x="2"/>
        <item t="default"/>
      </items>
    </pivotField>
  </pivotFields>
  <rowFields count="1">
    <field x="2"/>
  </rowFields>
  <rowItems count="6">
    <i>
      <x/>
    </i>
    <i>
      <x v="1"/>
    </i>
    <i>
      <x v="2"/>
    </i>
    <i>
      <x v="3"/>
    </i>
    <i>
      <x v="4"/>
    </i>
    <i t="grand">
      <x/>
    </i>
  </rowItems>
  <colItems count="1">
    <i/>
  </colItems>
  <dataFields count="1">
    <dataField name="Count of Candidate Name" fld="0"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FC4C78-F12F-4732-8A87-334CA7762BCF}"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4" firstHeaderRow="1" firstDataRow="1" firstDataCol="1"/>
  <pivotFields count="8">
    <pivotField dataField="1" showAll="0"/>
    <pivotField showAll="0"/>
    <pivotField showAll="0">
      <items count="6">
        <item x="0"/>
        <item x="3"/>
        <item x="2"/>
        <item x="4"/>
        <item x="1"/>
        <item t="default"/>
      </items>
    </pivotField>
    <pivotField showAll="0"/>
    <pivotField showAll="0"/>
    <pivotField showAll="0">
      <items count="4">
        <item x="2"/>
        <item x="1"/>
        <item x="0"/>
        <item t="default"/>
      </items>
    </pivotField>
    <pivotField showAll="0"/>
    <pivotField axis="axisRow" showAll="0">
      <items count="5">
        <item x="3"/>
        <item x="1"/>
        <item x="0"/>
        <item x="2"/>
        <item t="default"/>
      </items>
    </pivotField>
  </pivotFields>
  <rowFields count="1">
    <field x="7"/>
  </rowFields>
  <rowItems count="5">
    <i>
      <x/>
    </i>
    <i>
      <x v="1"/>
    </i>
    <i>
      <x v="2"/>
    </i>
    <i>
      <x v="3"/>
    </i>
    <i t="grand">
      <x/>
    </i>
  </rowItems>
  <colItems count="1">
    <i/>
  </colItems>
  <dataFields count="1">
    <dataField name="Count of Candidate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CDA56AC-E22D-48FD-99D7-244911B88717}" sourceName="Job Title">
  <pivotTables>
    <pivotTable tabId="6" name="PivotTable6"/>
    <pivotTable tabId="6" name="PivotTable7"/>
    <pivotTable tabId="6" name="PivotTable8"/>
    <pivotTable tabId="6" name="PivotTable2"/>
    <pivotTable tabId="6" name="PivotTable11"/>
  </pivotTables>
  <data>
    <tabular pivotCacheId="1916774244">
      <items count="5">
        <i x="0" s="1"/>
        <i x="3"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S_Readiness" xr10:uid="{5D834165-B66B-4F2D-A1CE-C38B660B891C}" sourceName="ATS Readiness">
  <pivotTables>
    <pivotTable tabId="6" name="PivotTable6"/>
    <pivotTable tabId="6" name="PivotTable7"/>
    <pivotTable tabId="6" name="PivotTable8"/>
    <pivotTable tabId="6" name="PivotTable2"/>
    <pivotTable tabId="6" name="PivotTable11"/>
  </pivotTables>
  <data>
    <tabular pivotCacheId="19167742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Score_Buckets" xr10:uid="{37CFF4DA-5C1C-48FC-8259-2626978593D0}" sourceName="Match Score Buckets">
  <pivotTables>
    <pivotTable tabId="6" name="PivotTable6"/>
    <pivotTable tabId="6" name="PivotTable7"/>
    <pivotTable tabId="6" name="PivotTable8"/>
    <pivotTable tabId="6" name="PivotTable2"/>
    <pivotTable tabId="6" name="PivotTable11"/>
  </pivotTables>
  <data>
    <tabular pivotCacheId="1916774244">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F6F5EB9C-2891-4D7F-8AB7-3DF54128247F}" cache="Slicer_Job_Title" caption="Job Title" rowHeight="234950"/>
  <slicer name="ATS Readiness 1" xr10:uid="{FDE591F7-9E42-4A71-8727-E8EEA6B32D84}" cache="Slicer_ATS_Readiness" caption="ATS Readiness" rowHeight="234950"/>
  <slicer name="Match Score Buckets 1" xr10:uid="{2565FBA4-ECBE-440A-8D0E-AFB899EAFFC0}" cache="Slicer_Match_Score_Buckets" caption="Match Score Bucket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A1375627-AFB5-4460-988B-95CC5A736C50}" cache="Slicer_Job_Title" caption="Job Title" rowHeight="234950"/>
  <slicer name="ATS Readiness" xr10:uid="{EF123E2B-DA49-4D57-9C44-8A28D2D9FCFA}" cache="Slicer_ATS_Readiness" caption="ATS Readiness" rowHeight="234950"/>
  <slicer name="Match Score Buckets" xr10:uid="{8AD0EF48-2856-4F04-BCFE-B981FE7DCC82}" cache="Slicer_Match_Score_Buckets" caption="Match Score Bucket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602FA5-B3DB-4A92-A9C0-3A139B0C815D}" name="tblCandidates1" displayName="tblCandidates1" ref="A1:H101" totalsRowShown="0" headerRowDxfId="7">
  <autoFilter ref="A1:H101" xr:uid="{CD602FA5-B3DB-4A92-A9C0-3A139B0C815D}"/>
  <tableColumns count="8">
    <tableColumn id="1" xr3:uid="{1FC47EED-6C39-4E63-BE78-C225834EC9AF}" name="Candidate Name"/>
    <tableColumn id="2" xr3:uid="{A64D60B0-F501-4043-A453-9EFF9FB370D6}" name="Skills"/>
    <tableColumn id="3" xr3:uid="{BB670333-9E41-4B2F-9F98-E6430FAEC393}" name="Job Title"/>
    <tableColumn id="4" xr3:uid="{33FF3F90-7FAA-479E-8171-6A4DD970EFBD}" name="Job Keywords"/>
    <tableColumn id="5" xr3:uid="{145576F9-DB3D-430B-908B-85538787F0E9}" name="Match Score (%)">
      <calculatedColumnFormula array="1">SUM(--ISNUMBER(SEARCH(_xlfn.TEXTSPLIT(D2,","),B2)))/COUNTA(_xlfn.TEXTSPLIT(D2,","))*100</calculatedColumnFormula>
    </tableColumn>
    <tableColumn id="6" xr3:uid="{4A1CB025-EA4F-4BF7-AA34-C530264CAAE3}" name="ATS Readiness" dataDxfId="0">
      <calculatedColumnFormula array="1">_xlfn.IFS(E2&lt;35,"Low", E2&lt;=65,"Medium", E2&gt;65,"High")</calculatedColumnFormula>
    </tableColumn>
    <tableColumn id="7" xr3:uid="{B9FA3054-84FF-49EE-B528-C2804BEB40FD}" name="Improvement Suggestions" dataDxfId="6">
      <calculatedColumnFormula array="1">_xlfn.TEXTJOIN(", ",TRUE,IF(ISNUMBER(SEARCH(TRIM(MID(SUBSTITUTE(D2,",",REPT(" ",100)),(ROW(INDIRECT("1:"&amp;(LEN(D2)-LEN(SUBSTITUTE(D2,",",""))+1)))-1)*100+1,100)),B2)),"",TRIM(MID(SUBSTITUTE(D2,",",REPT(" ",100)),(ROW(INDIRECT("1:"&amp;(LEN(D2)-LEN(SUBSTITUTE(D2,",",""))+1)))-1)*100+1,100))))</calculatedColumnFormula>
    </tableColumn>
    <tableColumn id="8" xr3:uid="{C4A462E0-A3F4-4369-B089-915E179BA09B}" name="Match Score Buckets" dataDxfId="5">
      <calculatedColumnFormula array="1">_xlfn.IFS(
  E2&lt;21, "0-20",
  E2&lt;41, "21-40",
  E2&lt;61, "41-60",
  E2&lt;81, "61-80",
  TRUE,   "81-100"
)</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A75" zoomScaleNormal="100" workbookViewId="0">
      <selection activeCell="E101" sqref="E101"/>
    </sheetView>
  </sheetViews>
  <sheetFormatPr defaultColWidth="9" defaultRowHeight="14.4"/>
  <cols>
    <col min="1" max="1" width="17.33203125" bestFit="1" customWidth="1"/>
    <col min="2" max="2" width="42.33203125" bestFit="1" customWidth="1"/>
    <col min="3" max="3" width="17.44140625" bestFit="1" customWidth="1"/>
    <col min="4" max="4" width="47.5546875" bestFit="1" customWidth="1"/>
    <col min="5" max="5" width="17.109375" bestFit="1" customWidth="1"/>
    <col min="6" max="6" width="15.33203125" bestFit="1" customWidth="1"/>
    <col min="7" max="7" width="29.33203125" bestFit="1" customWidth="1"/>
    <col min="8" max="8" width="21" bestFit="1" customWidth="1"/>
  </cols>
  <sheetData>
    <row r="1" spans="1:8">
      <c r="A1" s="4" t="s">
        <v>0</v>
      </c>
      <c r="B1" s="4" t="s">
        <v>1</v>
      </c>
      <c r="C1" s="4" t="s">
        <v>2</v>
      </c>
      <c r="D1" s="4" t="s">
        <v>3</v>
      </c>
      <c r="E1" s="4" t="s">
        <v>4</v>
      </c>
      <c r="F1" s="4" t="s">
        <v>5</v>
      </c>
      <c r="G1" s="4" t="s">
        <v>6</v>
      </c>
      <c r="H1" s="4" t="s">
        <v>169</v>
      </c>
    </row>
    <row r="2" spans="1:8">
      <c r="A2" t="s">
        <v>7</v>
      </c>
      <c r="B2" t="s">
        <v>8</v>
      </c>
      <c r="C2" t="s">
        <v>9</v>
      </c>
      <c r="D2" t="s">
        <v>10</v>
      </c>
      <c r="E2" cm="1">
        <f t="array" ref="E2">SUM(--ISNUMBER(SEARCH(_xlfn.TEXTSPLIT(D2,","),B2)))/COUNTA(_xlfn.TEXTSPLIT(D2,","))*100</f>
        <v>60</v>
      </c>
      <c r="F2" t="str" cm="1">
        <f t="array" ref="F2">_xlfn.IFS(E2&lt;35,"Low", E2&lt;=65,"Medium", E2&gt;65,"High")</f>
        <v>Medium</v>
      </c>
      <c r="G2" s="1" t="str" cm="1">
        <f t="array" ref="G2" ca="1">_xlfn.TEXTJOIN(", ",TRUE,IF(ISNUMBER(SEARCH(TRIM(MID(SUBSTITUTE(D2,",",REPT(" ",100)),(ROW(INDIRECT("1:"&amp;(LEN(D2)-LEN(SUBSTITUTE(D2,",",""))+1)))-1)*100+1,100)),B2)),"",TRIM(MID(SUBSTITUTE(D2,",",REPT(" ",100)),(ROW(INDIRECT("1:"&amp;(LEN(D2)-LEN(SUBSTITUTE(D2,",",""))+1)))-1)*100+1,100))))</f>
        <v>Tableau, R</v>
      </c>
      <c r="H2" t="str" cm="1">
        <f t="array" ref="H2">_xlfn.IFS(
  E2&lt;21, "0-20",
  E2&lt;41, "21-40",
  E2&lt;61, "41-60",
  E2&lt;81, "61-80",
  TRUE,   "81-100"
)</f>
        <v>41-60</v>
      </c>
    </row>
    <row r="3" spans="1:8">
      <c r="A3" t="s">
        <v>11</v>
      </c>
      <c r="B3" t="s">
        <v>12</v>
      </c>
      <c r="C3" t="s">
        <v>13</v>
      </c>
      <c r="D3" t="s">
        <v>14</v>
      </c>
      <c r="E3" cm="1">
        <f t="array" ref="E3">SUM(--ISNUMBER(SEARCH(_xlfn.TEXTSPLIT(D3,","),B3)))/COUNTA(_xlfn.TEXTSPLIT(D3,","))*100</f>
        <v>33.333333333333329</v>
      </c>
      <c r="F3" t="str" cm="1">
        <f t="array" ref="F3">_xlfn.IFS(E3&lt;35,"Low", E3&lt;=65,"Medium", E3&gt;65,"High")</f>
        <v>Low</v>
      </c>
      <c r="G3" s="1" t="str" cm="1">
        <f t="array" ref="G3" ca="1">_xlfn.TEXTJOIN(", ",TRUE,IF(ISNUMBER(SEARCH(TRIM(MID(SUBSTITUTE(D3,",",REPT(" ",100)),(ROW(INDIRECT("1:"&amp;(LEN(D3)-LEN(SUBSTITUTE(D3,",",""))+1)))-1)*100+1,100)),B3)),"",TRIM(MID(SUBSTITUTE(D3,",",REPT(" ",100)),(ROW(INDIRECT("1:"&amp;(LEN(D3)-LEN(SUBSTITUTE(D3,",",""))+1)))-1)*100+1,100))))</f>
        <v>HTML, CSS, JavaScript</v>
      </c>
      <c r="H3" t="str" cm="1">
        <f t="array" ref="H3">_xlfn.IFS(
  E3&lt;21, "0-20",
  E3&lt;41, "21-40",
  E3&lt;61, "41-60",
  E3&lt;81, "61-80",
  TRUE,   "81-100"
)</f>
        <v>21-40</v>
      </c>
    </row>
    <row r="4" spans="1:8">
      <c r="A4" t="s">
        <v>15</v>
      </c>
      <c r="B4" t="s">
        <v>16</v>
      </c>
      <c r="C4" t="s">
        <v>17</v>
      </c>
      <c r="D4" t="s">
        <v>18</v>
      </c>
      <c r="E4" cm="1">
        <f t="array" ref="E4">SUM(--ISNUMBER(SEARCH(_xlfn.TEXTSPLIT(D4,","),B4)))/COUNTA(_xlfn.TEXTSPLIT(D4,","))*100</f>
        <v>50</v>
      </c>
      <c r="F4" t="str" cm="1">
        <f t="array" ref="F4">_xlfn.IFS(E4&lt;35,"Low", E4&lt;=65,"Medium", E4&gt;65,"High")</f>
        <v>Medium</v>
      </c>
      <c r="G4" s="1" t="str" cm="1">
        <f t="array" ref="G4" ca="1">_xlfn.TEXTJOIN(", ",TRUE,IF(ISNUMBER(SEARCH(TRIM(MID(SUBSTITUTE(D4,",",REPT(" ",100)),(ROW(INDIRECT("1:"&amp;(LEN(D4)-LEN(SUBSTITUTE(D4,",",""))+1)))-1)*100+1,100)),B4)),"",TRIM(MID(SUBSTITUTE(D4,",",REPT(" ",100)),(ROW(INDIRECT("1:"&amp;(LEN(D4)-LEN(SUBSTITUTE(D4,",",""))+1)))-1)*100+1,100))))</f>
        <v>Communication, Excel</v>
      </c>
      <c r="H4" t="str" cm="1">
        <f t="array" ref="H4">_xlfn.IFS(
  E4&lt;21, "0-20",
  E4&lt;41, "21-40",
  E4&lt;61, "41-60",
  E4&lt;81, "61-80",
  TRUE,   "81-100"
)</f>
        <v>41-60</v>
      </c>
    </row>
    <row r="5" spans="1:8">
      <c r="A5" t="s">
        <v>19</v>
      </c>
      <c r="B5" t="s">
        <v>20</v>
      </c>
      <c r="C5" t="s">
        <v>21</v>
      </c>
      <c r="D5" t="s">
        <v>22</v>
      </c>
      <c r="E5" cm="1">
        <f t="array" ref="E5">SUM(--ISNUMBER(SEARCH(_xlfn.TEXTSPLIT(D5,","),B5)))/COUNTA(_xlfn.TEXTSPLIT(D5,","))*100</f>
        <v>60</v>
      </c>
      <c r="F5" t="str" cm="1">
        <f t="array" ref="F5">_xlfn.IFS(E5&lt;35,"Low", E5&lt;=65,"Medium", E5&gt;65,"High")</f>
        <v>Medium</v>
      </c>
      <c r="G5" s="1" t="str" cm="1">
        <f t="array" ref="G5" ca="1">_xlfn.TEXTJOIN(", ",TRUE,IF(ISNUMBER(SEARCH(TRIM(MID(SUBSTITUTE(D5,",",REPT(" ",100)),(ROW(INDIRECT("1:"&amp;(LEN(D5)-LEN(SUBSTITUTE(D5,",",""))+1)))-1)*100+1,100)),B5)),"",TRIM(MID(SUBSTITUTE(D5,",",REPT(" ",100)),(ROW(INDIRECT("1:"&amp;(LEN(D5)-LEN(SUBSTITUTE(D5,",",""))+1)))-1)*100+1,100))))</f>
        <v>Excel, PowerPoint</v>
      </c>
      <c r="H5" t="str" cm="1">
        <f t="array" ref="H5">_xlfn.IFS(
  E5&lt;21, "0-20",
  E5&lt;41, "21-40",
  E5&lt;61, "41-60",
  E5&lt;81, "61-80",
  TRUE,   "81-100"
)</f>
        <v>41-60</v>
      </c>
    </row>
    <row r="6" spans="1:8">
      <c r="A6" t="s">
        <v>23</v>
      </c>
      <c r="B6" t="s">
        <v>24</v>
      </c>
      <c r="C6" t="s">
        <v>25</v>
      </c>
      <c r="D6" t="s">
        <v>26</v>
      </c>
      <c r="E6" cm="1">
        <f t="array" ref="E6">SUM(--ISNUMBER(SEARCH(_xlfn.TEXTSPLIT(D6,","),B6)))/COUNTA(_xlfn.TEXTSPLIT(D6,","))*100</f>
        <v>75</v>
      </c>
      <c r="F6" t="str" cm="1">
        <f t="array" ref="F6">_xlfn.IFS(E6&lt;35,"Low", E6&lt;=65,"Medium", E6&gt;65,"High")</f>
        <v>High</v>
      </c>
      <c r="G6" s="1" t="str" cm="1">
        <f t="array" ref="G6" ca="1">_xlfn.TEXTJOIN(", ",TRUE,IF(ISNUMBER(SEARCH(TRIM(MID(SUBSTITUTE(D6,",",REPT(" ",100)),(ROW(INDIRECT("1:"&amp;(LEN(D6)-LEN(SUBSTITUTE(D6,",",""))+1)))-1)*100+1,100)),B6)),"",TRIM(MID(SUBSTITUTE(D6,",",REPT(" ",100)),(ROW(INDIRECT("1:"&amp;(LEN(D6)-LEN(SUBSTITUTE(D6,",",""))+1)))-1)*100+1,100))))</f>
        <v>Excel</v>
      </c>
      <c r="H6" t="str" cm="1">
        <f t="array" ref="H6">_xlfn.IFS(
  E6&lt;21, "0-20",
  E6&lt;41, "21-40",
  E6&lt;61, "41-60",
  E6&lt;81, "61-80",
  TRUE,   "81-100"
)</f>
        <v>61-80</v>
      </c>
    </row>
    <row r="7" spans="1:8">
      <c r="A7" t="s">
        <v>27</v>
      </c>
      <c r="B7" t="s">
        <v>28</v>
      </c>
      <c r="C7" t="s">
        <v>9</v>
      </c>
      <c r="D7" t="s">
        <v>10</v>
      </c>
      <c r="E7" cm="1">
        <f t="array" ref="E7">SUM(--ISNUMBER(SEARCH(_xlfn.TEXTSPLIT(D7,","),B7)))/COUNTA(_xlfn.TEXTSPLIT(D7,","))*100</f>
        <v>60</v>
      </c>
      <c r="F7" t="str" cm="1">
        <f t="array" ref="F7">_xlfn.IFS(E7&lt;35,"Low", E7&lt;=65,"Medium", E7&gt;65,"High")</f>
        <v>Medium</v>
      </c>
      <c r="G7" s="1" t="str" cm="1">
        <f t="array" ref="G7" ca="1">_xlfn.TEXTJOIN(", ",TRUE,IF(ISNUMBER(SEARCH(TRIM(MID(SUBSTITUTE(D7,",",REPT(" ",100)),(ROW(INDIRECT("1:"&amp;(LEN(D7)-LEN(SUBSTITUTE(D7,",",""))+1)))-1)*100+1,100)),B7)),"",TRIM(MID(SUBSTITUTE(D7,",",REPT(" ",100)),(ROW(INDIRECT("1:"&amp;(LEN(D7)-LEN(SUBSTITUTE(D7,",",""))+1)))-1)*100+1,100))))</f>
        <v>SQL, Tableau</v>
      </c>
      <c r="H7" t="str" cm="1">
        <f t="array" ref="H7">_xlfn.IFS(
  E7&lt;21, "0-20",
  E7&lt;41, "21-40",
  E7&lt;61, "41-60",
  E7&lt;81, "61-80",
  TRUE,   "81-100"
)</f>
        <v>41-60</v>
      </c>
    </row>
    <row r="8" spans="1:8">
      <c r="A8" t="s">
        <v>29</v>
      </c>
      <c r="B8" t="s">
        <v>30</v>
      </c>
      <c r="C8" t="s">
        <v>13</v>
      </c>
      <c r="D8" t="s">
        <v>14</v>
      </c>
      <c r="E8" cm="1">
        <f t="array" ref="E8">SUM(--ISNUMBER(SEARCH(_xlfn.TEXTSPLIT(D8,","),B8)))/COUNTA(_xlfn.TEXTSPLIT(D8,","))*100</f>
        <v>33.333333333333329</v>
      </c>
      <c r="F8" t="str" cm="1">
        <f t="array" ref="F8">_xlfn.IFS(E8&lt;35,"Low", E8&lt;=65,"Medium", E8&gt;65,"High")</f>
        <v>Low</v>
      </c>
      <c r="G8" s="1" t="str" cm="1">
        <f t="array" ref="G8" ca="1">_xlfn.TEXTJOIN(", ",TRUE,IF(ISNUMBER(SEARCH(TRIM(MID(SUBSTITUTE(D8,",",REPT(" ",100)),(ROW(INDIRECT("1:"&amp;(LEN(D8)-LEN(SUBSTITUTE(D8,",",""))+1)))-1)*100+1,100)),B8)),"",TRIM(MID(SUBSTITUTE(D8,",",REPT(" ",100)),(ROW(INDIRECT("1:"&amp;(LEN(D8)-LEN(SUBSTITUTE(D8,",",""))+1)))-1)*100+1,100))))</f>
        <v>Python, C++, JavaScript</v>
      </c>
      <c r="H8" t="str" cm="1">
        <f t="array" ref="H8">_xlfn.IFS(
  E8&lt;21, "0-20",
  E8&lt;41, "21-40",
  E8&lt;61, "41-60",
  E8&lt;81, "61-80",
  TRUE,   "81-100"
)</f>
        <v>21-40</v>
      </c>
    </row>
    <row r="9" spans="1:8">
      <c r="A9" t="s">
        <v>31</v>
      </c>
      <c r="B9" t="s">
        <v>32</v>
      </c>
      <c r="C9" t="s">
        <v>17</v>
      </c>
      <c r="D9" t="s">
        <v>18</v>
      </c>
      <c r="E9" cm="1">
        <f t="array" ref="E9">SUM(--ISNUMBER(SEARCH(_xlfn.TEXTSPLIT(D9,","),B9)))/COUNTA(_xlfn.TEXTSPLIT(D9,","))*100</f>
        <v>25</v>
      </c>
      <c r="F9" t="str" cm="1">
        <f t="array" ref="F9">_xlfn.IFS(E9&lt;35,"Low", E9&lt;=65,"Medium", E9&gt;65,"High")</f>
        <v>Low</v>
      </c>
      <c r="G9" s="1" t="str" cm="1">
        <f t="array" ref="G9" ca="1">_xlfn.TEXTJOIN(", ",TRUE,IF(ISNUMBER(SEARCH(TRIM(MID(SUBSTITUTE(D9,",",REPT(" ",100)),(ROW(INDIRECT("1:"&amp;(LEN(D9)-LEN(SUBSTITUTE(D9,",",""))+1)))-1)*100+1,100)),B9)),"",TRIM(MID(SUBSTITUTE(D9,",",REPT(" ",100)),(ROW(INDIRECT("1:"&amp;(LEN(D9)-LEN(SUBSTITUTE(D9,",",""))+1)))-1)*100+1,100))))</f>
        <v>Project Management, Excel</v>
      </c>
      <c r="H9" t="str" cm="1">
        <f t="array" ref="H9">_xlfn.IFS(
  E9&lt;21, "0-20",
  E9&lt;41, "21-40",
  E9&lt;61, "41-60",
  E9&lt;81, "61-80",
  TRUE,   "81-100"
)</f>
        <v>21-40</v>
      </c>
    </row>
    <row r="10" spans="1:8">
      <c r="A10" t="s">
        <v>33</v>
      </c>
      <c r="B10" t="s">
        <v>34</v>
      </c>
      <c r="C10" t="s">
        <v>21</v>
      </c>
      <c r="D10" t="s">
        <v>22</v>
      </c>
      <c r="E10" cm="1">
        <f t="array" ref="E10">SUM(--ISNUMBER(SEARCH(_xlfn.TEXTSPLIT(D10,","),B10)))/COUNTA(_xlfn.TEXTSPLIT(D10,","))*100</f>
        <v>60</v>
      </c>
      <c r="F10" t="str" cm="1">
        <f t="array" ref="F10">_xlfn.IFS(E10&lt;35,"Low", E10&lt;=65,"Medium", E10&gt;65,"High")</f>
        <v>Medium</v>
      </c>
      <c r="G10" s="1" t="str" cm="1">
        <f t="array" ref="G10" ca="1">_xlfn.TEXTJOIN(", ",TRUE,IF(ISNUMBER(SEARCH(TRIM(MID(SUBSTITUTE(D10,",",REPT(" ",100)),(ROW(INDIRECT("1:"&amp;(LEN(D10)-LEN(SUBSTITUTE(D10,",",""))+1)))-1)*100+1,100)),B10)),"",TRIM(MID(SUBSTITUTE(D10,",",REPT(" ",100)),(ROW(INDIRECT("1:"&amp;(LEN(D10)-LEN(SUBSTITUTE(D10,",",""))+1)))-1)*100+1,100))))</f>
        <v>Communication, Sales</v>
      </c>
      <c r="H10" t="str" cm="1">
        <f t="array" ref="H10">_xlfn.IFS(
  E10&lt;21, "0-20",
  E10&lt;41, "21-40",
  E10&lt;61, "41-60",
  E10&lt;81, "61-80",
  TRUE,   "81-100"
)</f>
        <v>41-60</v>
      </c>
    </row>
    <row r="11" spans="1:8">
      <c r="A11" t="s">
        <v>35</v>
      </c>
      <c r="B11" t="s">
        <v>36</v>
      </c>
      <c r="C11" t="s">
        <v>25</v>
      </c>
      <c r="D11" t="s">
        <v>26</v>
      </c>
      <c r="E11" cm="1">
        <f t="array" ref="E11">SUM(--ISNUMBER(SEARCH(_xlfn.TEXTSPLIT(D11,","),B11)))/COUNTA(_xlfn.TEXTSPLIT(D11,","))*100</f>
        <v>50</v>
      </c>
      <c r="F11" t="str" cm="1">
        <f t="array" ref="F11">_xlfn.IFS(E11&lt;35,"Low", E11&lt;=65,"Medium", E11&gt;65,"High")</f>
        <v>Medium</v>
      </c>
      <c r="G11" s="1" t="str" cm="1">
        <f t="array" ref="G11" ca="1">_xlfn.TEXTJOIN(", ",TRUE,IF(ISNUMBER(SEARCH(TRIM(MID(SUBSTITUTE(D11,",",REPT(" ",100)),(ROW(INDIRECT("1:"&amp;(LEN(D11)-LEN(SUBSTITUTE(D11,",",""))+1)))-1)*100+1,100)),B11)),"",TRIM(MID(SUBSTITUTE(D11,",",REPT(" ",100)),(ROW(INDIRECT("1:"&amp;(LEN(D11)-LEN(SUBSTITUTE(D11,",",""))+1)))-1)*100+1,100))))</f>
        <v>Customer Service, Communication</v>
      </c>
      <c r="H11" t="str" cm="1">
        <f t="array" ref="H11">_xlfn.IFS(
  E11&lt;21, "0-20",
  E11&lt;41, "21-40",
  E11&lt;61, "41-60",
  E11&lt;81, "61-80",
  TRUE,   "81-100"
)</f>
        <v>41-60</v>
      </c>
    </row>
    <row r="12" spans="1:8">
      <c r="A12" t="s">
        <v>37</v>
      </c>
      <c r="B12" t="s">
        <v>38</v>
      </c>
      <c r="C12" t="s">
        <v>9</v>
      </c>
      <c r="D12" t="s">
        <v>10</v>
      </c>
      <c r="E12" cm="1">
        <f t="array" ref="E12">SUM(--ISNUMBER(SEARCH(_xlfn.TEXTSPLIT(D12,","),B12)))/COUNTA(_xlfn.TEXTSPLIT(D12,","))*100</f>
        <v>60</v>
      </c>
      <c r="F12" t="str" cm="1">
        <f t="array" ref="F12">_xlfn.IFS(E12&lt;35,"Low", E12&lt;=65,"Medium", E12&gt;65,"High")</f>
        <v>Medium</v>
      </c>
      <c r="G12" s="1" t="str" cm="1">
        <f t="array" ref="G12" ca="1">_xlfn.TEXTJOIN(", ",TRUE,IF(ISNUMBER(SEARCH(TRIM(MID(SUBSTITUTE(D12,",",REPT(" ",100)),(ROW(INDIRECT("1:"&amp;(LEN(D12)-LEN(SUBSTITUTE(D12,",",""))+1)))-1)*100+1,100)),B12)),"",TRIM(MID(SUBSTITUTE(D12,",",REPT(" ",100)),(ROW(INDIRECT("1:"&amp;(LEN(D12)-LEN(SUBSTITUTE(D12,",",""))+1)))-1)*100+1,100))))</f>
        <v>Excel, R</v>
      </c>
      <c r="H12" t="str" cm="1">
        <f t="array" ref="H12">_xlfn.IFS(
  E12&lt;21, "0-20",
  E12&lt;41, "21-40",
  E12&lt;61, "41-60",
  E12&lt;81, "61-80",
  TRUE,   "81-100"
)</f>
        <v>41-60</v>
      </c>
    </row>
    <row r="13" spans="1:8">
      <c r="A13" t="s">
        <v>39</v>
      </c>
      <c r="B13" t="s">
        <v>40</v>
      </c>
      <c r="C13" t="s">
        <v>13</v>
      </c>
      <c r="D13" t="s">
        <v>14</v>
      </c>
      <c r="E13" cm="1">
        <f t="array" ref="E13">SUM(--ISNUMBER(SEARCH(_xlfn.TEXTSPLIT(D13,","),B13)))/COUNTA(_xlfn.TEXTSPLIT(D13,","))*100</f>
        <v>16.666666666666664</v>
      </c>
      <c r="F13" t="str" cm="1">
        <f t="array" ref="F13">_xlfn.IFS(E13&lt;35,"Low", E13&lt;=65,"Medium", E13&gt;65,"High")</f>
        <v>Low</v>
      </c>
      <c r="G13" s="1" t="str" cm="1">
        <f t="array" ref="G13" ca="1">_xlfn.TEXTJOIN(", ",TRUE,IF(ISNUMBER(SEARCH(TRIM(MID(SUBSTITUTE(D13,",",REPT(" ",100)),(ROW(INDIRECT("1:"&amp;(LEN(D13)-LEN(SUBSTITUTE(D13,",",""))+1)))-1)*100+1,100)),B13)),"",TRIM(MID(SUBSTITUTE(D13,",",REPT(" ",100)),(ROW(INDIRECT("1:"&amp;(LEN(D13)-LEN(SUBSTITUTE(D13,",",""))+1)))-1)*100+1,100))))</f>
        <v>Python, HTML, CSS, JavaScript</v>
      </c>
      <c r="H13" t="str" cm="1">
        <f t="array" ref="H13">_xlfn.IFS(
  E13&lt;21, "0-20",
  E13&lt;41, "21-40",
  E13&lt;61, "41-60",
  E13&lt;81, "61-80",
  TRUE,   "81-100"
)</f>
        <v>0-20</v>
      </c>
    </row>
    <row r="14" spans="1:8">
      <c r="A14" t="s">
        <v>41</v>
      </c>
      <c r="B14" t="s">
        <v>42</v>
      </c>
      <c r="C14" t="s">
        <v>17</v>
      </c>
      <c r="D14" t="s">
        <v>18</v>
      </c>
      <c r="E14" cm="1">
        <f t="array" ref="E14">SUM(--ISNUMBER(SEARCH(_xlfn.TEXTSPLIT(D14,","),B14)))/COUNTA(_xlfn.TEXTSPLIT(D14,","))*100</f>
        <v>75</v>
      </c>
      <c r="F14" t="str" cm="1">
        <f t="array" ref="F14">_xlfn.IFS(E14&lt;35,"Low", E14&lt;=65,"Medium", E14&gt;65,"High")</f>
        <v>High</v>
      </c>
      <c r="G14" s="1" t="str" cm="1">
        <f t="array" ref="G14" ca="1">_xlfn.TEXTJOIN(", ",TRUE,IF(ISNUMBER(SEARCH(TRIM(MID(SUBSTITUTE(D14,",",REPT(" ",100)),(ROW(INDIRECT("1:"&amp;(LEN(D14)-LEN(SUBSTITUTE(D14,",",""))+1)))-1)*100+1,100)),B14)),"",TRIM(MID(SUBSTITUTE(D14,",",REPT(" ",100)),(ROW(INDIRECT("1:"&amp;(LEN(D14)-LEN(SUBSTITUTE(D14,",",""))+1)))-1)*100+1,100))))</f>
        <v>Leadership</v>
      </c>
      <c r="H14" t="str" cm="1">
        <f t="array" ref="H14">_xlfn.IFS(
  E14&lt;21, "0-20",
  E14&lt;41, "21-40",
  E14&lt;61, "41-60",
  E14&lt;81, "61-80",
  TRUE,   "81-100"
)</f>
        <v>61-80</v>
      </c>
    </row>
    <row r="15" spans="1:8">
      <c r="A15" t="s">
        <v>43</v>
      </c>
      <c r="B15" t="s">
        <v>44</v>
      </c>
      <c r="C15" t="s">
        <v>21</v>
      </c>
      <c r="D15" t="s">
        <v>22</v>
      </c>
      <c r="E15" cm="1">
        <f t="array" ref="E15">SUM(--ISNUMBER(SEARCH(_xlfn.TEXTSPLIT(D15,","),B15)))/COUNTA(_xlfn.TEXTSPLIT(D15,","))*100</f>
        <v>60</v>
      </c>
      <c r="F15" t="str" cm="1">
        <f t="array" ref="F15">_xlfn.IFS(E15&lt;35,"Low", E15&lt;=65,"Medium", E15&gt;65,"High")</f>
        <v>Medium</v>
      </c>
      <c r="G15" s="1" t="str" cm="1">
        <f t="array" ref="G15" ca="1">_xlfn.TEXTJOIN(", ",TRUE,IF(ISNUMBER(SEARCH(TRIM(MID(SUBSTITUTE(D15,",",REPT(" ",100)),(ROW(INDIRECT("1:"&amp;(LEN(D15)-LEN(SUBSTITUTE(D15,",",""))+1)))-1)*100+1,100)),B15)),"",TRIM(MID(SUBSTITUTE(D15,",",REPT(" ",100)),(ROW(INDIRECT("1:"&amp;(LEN(D15)-LEN(SUBSTITUTE(D15,",",""))+1)))-1)*100+1,100))))</f>
        <v>Excel, PowerPoint</v>
      </c>
      <c r="H15" t="str" cm="1">
        <f t="array" ref="H15">_xlfn.IFS(
  E15&lt;21, "0-20",
  E15&lt;41, "21-40",
  E15&lt;61, "41-60",
  E15&lt;81, "61-80",
  TRUE,   "81-100"
)</f>
        <v>41-60</v>
      </c>
    </row>
    <row r="16" spans="1:8">
      <c r="A16" t="s">
        <v>45</v>
      </c>
      <c r="B16" t="s">
        <v>46</v>
      </c>
      <c r="C16" t="s">
        <v>25</v>
      </c>
      <c r="D16" t="s">
        <v>26</v>
      </c>
      <c r="E16" cm="1">
        <f t="array" ref="E16">SUM(--ISNUMBER(SEARCH(_xlfn.TEXTSPLIT(D16,","),B16)))/COUNTA(_xlfn.TEXTSPLIT(D16,","))*100</f>
        <v>75</v>
      </c>
      <c r="F16" t="str" cm="1">
        <f t="array" ref="F16">_xlfn.IFS(E16&lt;35,"Low", E16&lt;=65,"Medium", E16&gt;65,"High")</f>
        <v>High</v>
      </c>
      <c r="G16" s="1" t="str" cm="1">
        <f t="array" ref="G16" ca="1">_xlfn.TEXTJOIN(", ",TRUE,IF(ISNUMBER(SEARCH(TRIM(MID(SUBSTITUTE(D16,",",REPT(" ",100)),(ROW(INDIRECT("1:"&amp;(LEN(D16)-LEN(SUBSTITUTE(D16,",",""))+1)))-1)*100+1,100)),B16)),"",TRIM(MID(SUBSTITUTE(D16,",",REPT(" ",100)),(ROW(INDIRECT("1:"&amp;(LEN(D16)-LEN(SUBSTITUTE(D16,",",""))+1)))-1)*100+1,100))))</f>
        <v>Communication</v>
      </c>
      <c r="H16" t="str" cm="1">
        <f t="array" ref="H16">_xlfn.IFS(
  E16&lt;21, "0-20",
  E16&lt;41, "21-40",
  E16&lt;61, "41-60",
  E16&lt;81, "61-80",
  TRUE,   "81-100"
)</f>
        <v>61-80</v>
      </c>
    </row>
    <row r="17" spans="1:8">
      <c r="A17" t="s">
        <v>47</v>
      </c>
      <c r="B17" t="s">
        <v>48</v>
      </c>
      <c r="C17" t="s">
        <v>9</v>
      </c>
      <c r="D17" t="s">
        <v>10</v>
      </c>
      <c r="E17" cm="1">
        <f t="array" ref="E17">SUM(--ISNUMBER(SEARCH(_xlfn.TEXTSPLIT(D17,","),B17)))/COUNTA(_xlfn.TEXTSPLIT(D17,","))*100</f>
        <v>60</v>
      </c>
      <c r="F17" t="str" cm="1">
        <f t="array" ref="F17">_xlfn.IFS(E17&lt;35,"Low", E17&lt;=65,"Medium", E17&gt;65,"High")</f>
        <v>Medium</v>
      </c>
      <c r="G17" s="1" t="str" cm="1">
        <f t="array" ref="G17" ca="1">_xlfn.TEXTJOIN(", ",TRUE,IF(ISNUMBER(SEARCH(TRIM(MID(SUBSTITUTE(D17,",",REPT(" ",100)),(ROW(INDIRECT("1:"&amp;(LEN(D17)-LEN(SUBSTITUTE(D17,",",""))+1)))-1)*100+1,100)),B17)),"",TRIM(MID(SUBSTITUTE(D17,",",REPT(" ",100)),(ROW(INDIRECT("1:"&amp;(LEN(D17)-LEN(SUBSTITUTE(D17,",",""))+1)))-1)*100+1,100))))</f>
        <v>Excel, Tableau</v>
      </c>
      <c r="H17" t="str" cm="1">
        <f t="array" ref="H17">_xlfn.IFS(
  E17&lt;21, "0-20",
  E17&lt;41, "21-40",
  E17&lt;61, "41-60",
  E17&lt;81, "61-80",
  TRUE,   "81-100"
)</f>
        <v>41-60</v>
      </c>
    </row>
    <row r="18" spans="1:8">
      <c r="A18" t="s">
        <v>49</v>
      </c>
      <c r="B18" t="s">
        <v>50</v>
      </c>
      <c r="C18" t="s">
        <v>13</v>
      </c>
      <c r="D18" t="s">
        <v>14</v>
      </c>
      <c r="E18" cm="1">
        <f t="array" ref="E18">SUM(--ISNUMBER(SEARCH(_xlfn.TEXTSPLIT(D18,","),B18)))/COUNTA(_xlfn.TEXTSPLIT(D18,","))*100</f>
        <v>50</v>
      </c>
      <c r="F18" t="str" cm="1">
        <f t="array" ref="F18">_xlfn.IFS(E18&lt;35,"Low", E18&lt;=65,"Medium", E18&gt;65,"High")</f>
        <v>Medium</v>
      </c>
      <c r="G18" s="1" t="str" cm="1">
        <f t="array" ref="G18" ca="1">_xlfn.TEXTJOIN(", ",TRUE,IF(ISNUMBER(SEARCH(TRIM(MID(SUBSTITUTE(D18,",",REPT(" ",100)),(ROW(INDIRECT("1:"&amp;(LEN(D18)-LEN(SUBSTITUTE(D18,",",""))+1)))-1)*100+1,100)),B18)),"",TRIM(MID(SUBSTITUTE(D18,",",REPT(" ",100)),(ROW(INDIRECT("1:"&amp;(LEN(D18)-LEN(SUBSTITUTE(D18,",",""))+1)))-1)*100+1,100))))</f>
        <v>Python, C++, HTML</v>
      </c>
      <c r="H18" t="str" cm="1">
        <f t="array" ref="H18">_xlfn.IFS(
  E18&lt;21, "0-20",
  E18&lt;41, "21-40",
  E18&lt;61, "41-60",
  E18&lt;81, "61-80",
  TRUE,   "81-100"
)</f>
        <v>41-60</v>
      </c>
    </row>
    <row r="19" spans="1:8">
      <c r="A19" t="s">
        <v>51</v>
      </c>
      <c r="B19" t="s">
        <v>52</v>
      </c>
      <c r="C19" t="s">
        <v>17</v>
      </c>
      <c r="D19" t="s">
        <v>18</v>
      </c>
      <c r="E19" cm="1">
        <f t="array" ref="E19">SUM(--ISNUMBER(SEARCH(_xlfn.TEXTSPLIT(D19,","),B19)))/COUNTA(_xlfn.TEXTSPLIT(D19,","))*100</f>
        <v>25</v>
      </c>
      <c r="F19" t="str" cm="1">
        <f t="array" ref="F19">_xlfn.IFS(E19&lt;35,"Low", E19&lt;=65,"Medium", E19&gt;65,"High")</f>
        <v>Low</v>
      </c>
      <c r="G19" s="1" t="str" cm="1">
        <f t="array" ref="G19" ca="1">_xlfn.TEXTJOIN(", ",TRUE,IF(ISNUMBER(SEARCH(TRIM(MID(SUBSTITUTE(D19,",",REPT(" ",100)),(ROW(INDIRECT("1:"&amp;(LEN(D19)-LEN(SUBSTITUTE(D19,",",""))+1)))-1)*100+1,100)),B19)),"",TRIM(MID(SUBSTITUTE(D19,",",REPT(" ",100)),(ROW(INDIRECT("1:"&amp;(LEN(D19)-LEN(SUBSTITUTE(D19,",",""))+1)))-1)*100+1,100))))</f>
        <v>Communication, Excel</v>
      </c>
      <c r="H19" t="str" cm="1">
        <f t="array" ref="H19">_xlfn.IFS(
  E19&lt;21, "0-20",
  E19&lt;41, "21-40",
  E19&lt;61, "41-60",
  E19&lt;81, "61-80",
  TRUE,   "81-100"
)</f>
        <v>21-40</v>
      </c>
    </row>
    <row r="20" spans="1:8">
      <c r="A20" t="s">
        <v>53</v>
      </c>
      <c r="B20" t="s">
        <v>54</v>
      </c>
      <c r="C20" t="s">
        <v>21</v>
      </c>
      <c r="D20" t="s">
        <v>22</v>
      </c>
      <c r="E20" cm="1">
        <f t="array" ref="E20">SUM(--ISNUMBER(SEARCH(_xlfn.TEXTSPLIT(D20,","),B20)))/COUNTA(_xlfn.TEXTSPLIT(D20,","))*100</f>
        <v>60</v>
      </c>
      <c r="F20" t="str" cm="1">
        <f t="array" ref="F20">_xlfn.IFS(E20&lt;35,"Low", E20&lt;=65,"Medium", E20&gt;65,"High")</f>
        <v>Medium</v>
      </c>
      <c r="G20" s="1" t="str" cm="1">
        <f t="array" ref="G20" ca="1">_xlfn.TEXTJOIN(", ",TRUE,IF(ISNUMBER(SEARCH(TRIM(MID(SUBSTITUTE(D20,",",REPT(" ",100)),(ROW(INDIRECT("1:"&amp;(LEN(D20)-LEN(SUBSTITUTE(D20,",",""))+1)))-1)*100+1,100)),B20)),"",TRIM(MID(SUBSTITUTE(D20,",",REPT(" ",100)),(ROW(INDIRECT("1:"&amp;(LEN(D20)-LEN(SUBSTITUTE(D20,",",""))+1)))-1)*100+1,100))))</f>
        <v>Sales, Excel</v>
      </c>
      <c r="H20" t="str" cm="1">
        <f t="array" ref="H20">_xlfn.IFS(
  E20&lt;21, "0-20",
  E20&lt;41, "21-40",
  E20&lt;61, "41-60",
  E20&lt;81, "61-80",
  TRUE,   "81-100"
)</f>
        <v>41-60</v>
      </c>
    </row>
    <row r="21" spans="1:8">
      <c r="A21" t="s">
        <v>55</v>
      </c>
      <c r="B21" t="s">
        <v>56</v>
      </c>
      <c r="C21" t="s">
        <v>25</v>
      </c>
      <c r="D21" t="s">
        <v>26</v>
      </c>
      <c r="E21" cm="1">
        <f t="array" ref="E21">SUM(--ISNUMBER(SEARCH(_xlfn.TEXTSPLIT(D21,","),B21)))/COUNTA(_xlfn.TEXTSPLIT(D21,","))*100</f>
        <v>75</v>
      </c>
      <c r="F21" t="str" cm="1">
        <f t="array" ref="F21">_xlfn.IFS(E21&lt;35,"Low", E21&lt;=65,"Medium", E21&gt;65,"High")</f>
        <v>High</v>
      </c>
      <c r="G21" s="1" t="str" cm="1">
        <f t="array" ref="G21" ca="1">_xlfn.TEXTJOIN(", ",TRUE,IF(ISNUMBER(SEARCH(TRIM(MID(SUBSTITUTE(D21,",",REPT(" ",100)),(ROW(INDIRECT("1:"&amp;(LEN(D21)-LEN(SUBSTITUTE(D21,",",""))+1)))-1)*100+1,100)),B21)),"",TRIM(MID(SUBSTITUTE(D21,",",REPT(" ",100)),(ROW(INDIRECT("1:"&amp;(LEN(D21)-LEN(SUBSTITUTE(D21,",",""))+1)))-1)*100+1,100))))</f>
        <v>Customer Service</v>
      </c>
      <c r="H21" t="str" cm="1">
        <f t="array" ref="H21">_xlfn.IFS(
  E21&lt;21, "0-20",
  E21&lt;41, "21-40",
  E21&lt;61, "41-60",
  E21&lt;81, "61-80",
  TRUE,   "81-100"
)</f>
        <v>61-80</v>
      </c>
    </row>
    <row r="22" spans="1:8">
      <c r="A22" t="s">
        <v>57</v>
      </c>
      <c r="B22" t="s">
        <v>58</v>
      </c>
      <c r="C22" t="s">
        <v>9</v>
      </c>
      <c r="D22" t="s">
        <v>10</v>
      </c>
      <c r="E22" cm="1">
        <f t="array" ref="E22">SUM(--ISNUMBER(SEARCH(_xlfn.TEXTSPLIT(D22,","),B22)))/COUNTA(_xlfn.TEXTSPLIT(D22,","))*100</f>
        <v>80</v>
      </c>
      <c r="F22" t="str" cm="1">
        <f t="array" ref="F22">_xlfn.IFS(E22&lt;35,"Low", E22&lt;=65,"Medium", E22&gt;65,"High")</f>
        <v>High</v>
      </c>
      <c r="G22" s="1" t="str" cm="1">
        <f t="array" ref="G22" ca="1">_xlfn.TEXTJOIN(", ",TRUE,IF(ISNUMBER(SEARCH(TRIM(MID(SUBSTITUTE(D22,",",REPT(" ",100)),(ROW(INDIRECT("1:"&amp;(LEN(D22)-LEN(SUBSTITUTE(D22,",",""))+1)))-1)*100+1,100)),B22)),"",TRIM(MID(SUBSTITUTE(D22,",",REPT(" ",100)),(ROW(INDIRECT("1:"&amp;(LEN(D22)-LEN(SUBSTITUTE(D22,",",""))+1)))-1)*100+1,100))))</f>
        <v>R</v>
      </c>
      <c r="H22" t="str" cm="1">
        <f t="array" ref="H22">_xlfn.IFS(
  E22&lt;21, "0-20",
  E22&lt;41, "21-40",
  E22&lt;61, "41-60",
  E22&lt;81, "61-80",
  TRUE,   "81-100"
)</f>
        <v>61-80</v>
      </c>
    </row>
    <row r="23" spans="1:8">
      <c r="A23" t="s">
        <v>59</v>
      </c>
      <c r="B23" t="s">
        <v>60</v>
      </c>
      <c r="C23" t="s">
        <v>13</v>
      </c>
      <c r="D23" t="s">
        <v>14</v>
      </c>
      <c r="E23" cm="1">
        <f t="array" ref="E23">SUM(--ISNUMBER(SEARCH(_xlfn.TEXTSPLIT(D23,","),B23)))/COUNTA(_xlfn.TEXTSPLIT(D23,","))*100</f>
        <v>33.333333333333329</v>
      </c>
      <c r="F23" t="str" cm="1">
        <f t="array" ref="F23">_xlfn.IFS(E23&lt;35,"Low", E23&lt;=65,"Medium", E23&gt;65,"High")</f>
        <v>Low</v>
      </c>
      <c r="G23" s="1" t="str" cm="1">
        <f t="array" ref="G23" ca="1">_xlfn.TEXTJOIN(", ",TRUE,IF(ISNUMBER(SEARCH(TRIM(MID(SUBSTITUTE(D23,",",REPT(" ",100)),(ROW(INDIRECT("1:"&amp;(LEN(D23)-LEN(SUBSTITUTE(D23,",",""))+1)))-1)*100+1,100)),B23)),"",TRIM(MID(SUBSTITUTE(D23,",",REPT(" ",100)),(ROW(INDIRECT("1:"&amp;(LEN(D23)-LEN(SUBSTITUTE(D23,",",""))+1)))-1)*100+1,100))))</f>
        <v>Python, CSS, JavaScript</v>
      </c>
      <c r="H23" t="str" cm="1">
        <f t="array" ref="H23">_xlfn.IFS(
  E23&lt;21, "0-20",
  E23&lt;41, "21-40",
  E23&lt;61, "41-60",
  E23&lt;81, "61-80",
  TRUE,   "81-100"
)</f>
        <v>21-40</v>
      </c>
    </row>
    <row r="24" spans="1:8">
      <c r="A24" t="s">
        <v>61</v>
      </c>
      <c r="B24" t="s">
        <v>62</v>
      </c>
      <c r="C24" t="s">
        <v>17</v>
      </c>
      <c r="D24" t="s">
        <v>18</v>
      </c>
      <c r="E24" cm="1">
        <f t="array" ref="E24">SUM(--ISNUMBER(SEARCH(_xlfn.TEXTSPLIT(D24,","),B24)))/COUNTA(_xlfn.TEXTSPLIT(D24,","))*100</f>
        <v>75</v>
      </c>
      <c r="F24" t="str" cm="1">
        <f t="array" ref="F24">_xlfn.IFS(E24&lt;35,"Low", E24&lt;=65,"Medium", E24&gt;65,"High")</f>
        <v>High</v>
      </c>
      <c r="G24" s="1" t="str" cm="1">
        <f t="array" ref="G24" ca="1">_xlfn.TEXTJOIN(", ",TRUE,IF(ISNUMBER(SEARCH(TRIM(MID(SUBSTITUTE(D24,",",REPT(" ",100)),(ROW(INDIRECT("1:"&amp;(LEN(D24)-LEN(SUBSTITUTE(D24,",",""))+1)))-1)*100+1,100)),B24)),"",TRIM(MID(SUBSTITUTE(D24,",",REPT(" ",100)),(ROW(INDIRECT("1:"&amp;(LEN(D24)-LEN(SUBSTITUTE(D24,",",""))+1)))-1)*100+1,100))))</f>
        <v>Excel</v>
      </c>
      <c r="H24" t="str" cm="1">
        <f t="array" ref="H24">_xlfn.IFS(
  E24&lt;21, "0-20",
  E24&lt;41, "21-40",
  E24&lt;61, "41-60",
  E24&lt;81, "61-80",
  TRUE,   "81-100"
)</f>
        <v>61-80</v>
      </c>
    </row>
    <row r="25" spans="1:8">
      <c r="A25" t="s">
        <v>63</v>
      </c>
      <c r="B25" t="s">
        <v>64</v>
      </c>
      <c r="C25" t="s">
        <v>21</v>
      </c>
      <c r="D25" t="s">
        <v>22</v>
      </c>
      <c r="E25" cm="1">
        <f t="array" ref="E25">SUM(--ISNUMBER(SEARCH(_xlfn.TEXTSPLIT(D25,","),B25)))/COUNTA(_xlfn.TEXTSPLIT(D25,","))*100</f>
        <v>60</v>
      </c>
      <c r="F25" t="str" cm="1">
        <f t="array" ref="F25">_xlfn.IFS(E25&lt;35,"Low", E25&lt;=65,"Medium", E25&gt;65,"High")</f>
        <v>Medium</v>
      </c>
      <c r="G25" s="1" t="str" cm="1">
        <f t="array" ref="G25" ca="1">_xlfn.TEXTJOIN(", ",TRUE,IF(ISNUMBER(SEARCH(TRIM(MID(SUBSTITUTE(D25,",",REPT(" ",100)),(ROW(INDIRECT("1:"&amp;(LEN(D25)-LEN(SUBSTITUTE(D25,",",""))+1)))-1)*100+1,100)),B25)),"",TRIM(MID(SUBSTITUTE(D25,",",REPT(" ",100)),(ROW(INDIRECT("1:"&amp;(LEN(D25)-LEN(SUBSTITUTE(D25,",",""))+1)))-1)*100+1,100))))</f>
        <v>Communication, Excel</v>
      </c>
      <c r="H25" t="str" cm="1">
        <f t="array" ref="H25">_xlfn.IFS(
  E25&lt;21, "0-20",
  E25&lt;41, "21-40",
  E25&lt;61, "41-60",
  E25&lt;81, "61-80",
  TRUE,   "81-100"
)</f>
        <v>41-60</v>
      </c>
    </row>
    <row r="26" spans="1:8">
      <c r="A26" t="s">
        <v>65</v>
      </c>
      <c r="B26" t="s">
        <v>24</v>
      </c>
      <c r="C26" t="s">
        <v>25</v>
      </c>
      <c r="D26" t="s">
        <v>26</v>
      </c>
      <c r="E26" cm="1">
        <f t="array" ref="E26">SUM(--ISNUMBER(SEARCH(_xlfn.TEXTSPLIT(D26,","),B26)))/COUNTA(_xlfn.TEXTSPLIT(D26,","))*100</f>
        <v>75</v>
      </c>
      <c r="F26" t="str" cm="1">
        <f t="array" ref="F26">_xlfn.IFS(E26&lt;35,"Low", E26&lt;=65,"Medium", E26&gt;65,"High")</f>
        <v>High</v>
      </c>
      <c r="G26" s="1" t="str" cm="1">
        <f t="array" ref="G26" ca="1">_xlfn.TEXTJOIN(", ",TRUE,IF(ISNUMBER(SEARCH(TRIM(MID(SUBSTITUTE(D26,",",REPT(" ",100)),(ROW(INDIRECT("1:"&amp;(LEN(D26)-LEN(SUBSTITUTE(D26,",",""))+1)))-1)*100+1,100)),B26)),"",TRIM(MID(SUBSTITUTE(D26,",",REPT(" ",100)),(ROW(INDIRECT("1:"&amp;(LEN(D26)-LEN(SUBSTITUTE(D26,",",""))+1)))-1)*100+1,100))))</f>
        <v>Excel</v>
      </c>
      <c r="H26" t="str" cm="1">
        <f t="array" ref="H26">_xlfn.IFS(
  E26&lt;21, "0-20",
  E26&lt;41, "21-40",
  E26&lt;61, "41-60",
  E26&lt;81, "61-80",
  TRUE,   "81-100"
)</f>
        <v>61-80</v>
      </c>
    </row>
    <row r="27" spans="1:8">
      <c r="A27" t="s">
        <v>66</v>
      </c>
      <c r="B27" t="s">
        <v>67</v>
      </c>
      <c r="C27" t="s">
        <v>9</v>
      </c>
      <c r="D27" t="s">
        <v>10</v>
      </c>
      <c r="E27" cm="1">
        <f t="array" ref="E27">SUM(--ISNUMBER(SEARCH(_xlfn.TEXTSPLIT(D27,","),B27)))/COUNTA(_xlfn.TEXTSPLIT(D27,","))*100</f>
        <v>60</v>
      </c>
      <c r="F27" t="str" cm="1">
        <f t="array" ref="F27">_xlfn.IFS(E27&lt;35,"Low", E27&lt;=65,"Medium", E27&gt;65,"High")</f>
        <v>Medium</v>
      </c>
      <c r="G27" s="1" t="str" cm="1">
        <f t="array" ref="G27" ca="1">_xlfn.TEXTJOIN(", ",TRUE,IF(ISNUMBER(SEARCH(TRIM(MID(SUBSTITUTE(D27,",",REPT(" ",100)),(ROW(INDIRECT("1:"&amp;(LEN(D27)-LEN(SUBSTITUTE(D27,",",""))+1)))-1)*100+1,100)),B27)),"",TRIM(MID(SUBSTITUTE(D27,",",REPT(" ",100)),(ROW(INDIRECT("1:"&amp;(LEN(D27)-LEN(SUBSTITUTE(D27,",",""))+1)))-1)*100+1,100))))</f>
        <v>SQL, Excel</v>
      </c>
      <c r="H27" t="str" cm="1">
        <f t="array" ref="H27">_xlfn.IFS(
  E27&lt;21, "0-20",
  E27&lt;41, "21-40",
  E27&lt;61, "41-60",
  E27&lt;81, "61-80",
  TRUE,   "81-100"
)</f>
        <v>41-60</v>
      </c>
    </row>
    <row r="28" spans="1:8">
      <c r="A28" t="s">
        <v>68</v>
      </c>
      <c r="B28" t="s">
        <v>69</v>
      </c>
      <c r="C28" t="s">
        <v>13</v>
      </c>
      <c r="D28" t="s">
        <v>14</v>
      </c>
      <c r="E28" cm="1">
        <f t="array" ref="E28">SUM(--ISNUMBER(SEARCH(_xlfn.TEXTSPLIT(D28,","),B28)))/COUNTA(_xlfn.TEXTSPLIT(D28,","))*100</f>
        <v>50</v>
      </c>
      <c r="F28" t="str" cm="1">
        <f t="array" ref="F28">_xlfn.IFS(E28&lt;35,"Low", E28&lt;=65,"Medium", E28&gt;65,"High")</f>
        <v>Medium</v>
      </c>
      <c r="G28" s="1" t="str" cm="1">
        <f t="array" ref="G28" ca="1">_xlfn.TEXTJOIN(", ",TRUE,IF(ISNUMBER(SEARCH(TRIM(MID(SUBSTITUTE(D28,",",REPT(" ",100)),(ROW(INDIRECT("1:"&amp;(LEN(D28)-LEN(SUBSTITUTE(D28,",",""))+1)))-1)*100+1,100)),B28)),"",TRIM(MID(SUBSTITUTE(D28,",",REPT(" ",100)),(ROW(INDIRECT("1:"&amp;(LEN(D28)-LEN(SUBSTITUTE(D28,",",""))+1)))-1)*100+1,100))))</f>
        <v>Python, C++, HTML</v>
      </c>
      <c r="H28" t="str" cm="1">
        <f t="array" ref="H28">_xlfn.IFS(
  E28&lt;21, "0-20",
  E28&lt;41, "21-40",
  E28&lt;61, "41-60",
  E28&lt;81, "61-80",
  TRUE,   "81-100"
)</f>
        <v>41-60</v>
      </c>
    </row>
    <row r="29" spans="1:8">
      <c r="A29" t="s">
        <v>70</v>
      </c>
      <c r="B29" t="s">
        <v>71</v>
      </c>
      <c r="C29" t="s">
        <v>17</v>
      </c>
      <c r="D29" t="s">
        <v>18</v>
      </c>
      <c r="E29" cm="1">
        <f t="array" ref="E29">SUM(--ISNUMBER(SEARCH(_xlfn.TEXTSPLIT(D29,","),B29)))/COUNTA(_xlfn.TEXTSPLIT(D29,","))*100</f>
        <v>50</v>
      </c>
      <c r="F29" t="str" cm="1">
        <f t="array" ref="F29">_xlfn.IFS(E29&lt;35,"Low", E29&lt;=65,"Medium", E29&gt;65,"High")</f>
        <v>Medium</v>
      </c>
      <c r="G29" s="1" t="str" cm="1">
        <f t="array" ref="G29" ca="1">_xlfn.TEXTJOIN(", ",TRUE,IF(ISNUMBER(SEARCH(TRIM(MID(SUBSTITUTE(D29,",",REPT(" ",100)),(ROW(INDIRECT("1:"&amp;(LEN(D29)-LEN(SUBSTITUTE(D29,",",""))+1)))-1)*100+1,100)),B29)),"",TRIM(MID(SUBSTITUTE(D29,",",REPT(" ",100)),(ROW(INDIRECT("1:"&amp;(LEN(D29)-LEN(SUBSTITUTE(D29,",",""))+1)))-1)*100+1,100))))</f>
        <v>Project Management</v>
      </c>
      <c r="H29" t="str" cm="1">
        <f t="array" ref="H29">_xlfn.IFS(
  E29&lt;21, "0-20",
  E29&lt;41, "21-40",
  E29&lt;61, "41-60",
  E29&lt;81, "61-80",
  TRUE,   "81-100"
)</f>
        <v>41-60</v>
      </c>
    </row>
    <row r="30" spans="1:8">
      <c r="A30" t="s">
        <v>72</v>
      </c>
      <c r="B30" t="s">
        <v>73</v>
      </c>
      <c r="C30" t="s">
        <v>21</v>
      </c>
      <c r="D30" t="s">
        <v>22</v>
      </c>
      <c r="E30" cm="1">
        <f t="array" ref="E30">SUM(--ISNUMBER(SEARCH(_xlfn.TEXTSPLIT(D30,","),B30)))/COUNTA(_xlfn.TEXTSPLIT(D30,","))*100</f>
        <v>60</v>
      </c>
      <c r="F30" t="str" cm="1">
        <f t="array" ref="F30">_xlfn.IFS(E30&lt;35,"Low", E30&lt;=65,"Medium", E30&gt;65,"High")</f>
        <v>Medium</v>
      </c>
      <c r="G30" s="1" t="str" cm="1">
        <f t="array" ref="G30" ca="1">_xlfn.TEXTJOIN(", ",TRUE,IF(ISNUMBER(SEARCH(TRIM(MID(SUBSTITUTE(D30,",",REPT(" ",100)),(ROW(INDIRECT("1:"&amp;(LEN(D30)-LEN(SUBSTITUTE(D30,",",""))+1)))-1)*100+1,100)),B30)),"",TRIM(MID(SUBSTITUTE(D30,",",REPT(" ",100)),(ROW(INDIRECT("1:"&amp;(LEN(D30)-LEN(SUBSTITUTE(D30,",",""))+1)))-1)*100+1,100))))</f>
        <v>Communication, Sales</v>
      </c>
      <c r="H30" t="str" cm="1">
        <f t="array" ref="H30">_xlfn.IFS(
  E30&lt;21, "0-20",
  E30&lt;41, "21-40",
  E30&lt;61, "41-60",
  E30&lt;81, "61-80",
  TRUE,   "81-100"
)</f>
        <v>41-60</v>
      </c>
    </row>
    <row r="31" spans="1:8">
      <c r="A31" t="s">
        <v>74</v>
      </c>
      <c r="B31" t="s">
        <v>75</v>
      </c>
      <c r="C31" t="s">
        <v>25</v>
      </c>
      <c r="D31" t="s">
        <v>26</v>
      </c>
      <c r="E31" cm="1">
        <f t="array" ref="E31">SUM(--ISNUMBER(SEARCH(_xlfn.TEXTSPLIT(D31,","),B31)))/COUNTA(_xlfn.TEXTSPLIT(D31,","))*100</f>
        <v>75</v>
      </c>
      <c r="F31" t="str" cm="1">
        <f t="array" ref="F31">_xlfn.IFS(E31&lt;35,"Low", E31&lt;=65,"Medium", E31&gt;65,"High")</f>
        <v>High</v>
      </c>
      <c r="G31" s="1" t="str" cm="1">
        <f t="array" ref="G31" ca="1">_xlfn.TEXTJOIN(", ",TRUE,IF(ISNUMBER(SEARCH(TRIM(MID(SUBSTITUTE(D31,",",REPT(" ",100)),(ROW(INDIRECT("1:"&amp;(LEN(D31)-LEN(SUBSTITUTE(D31,",",""))+1)))-1)*100+1,100)),B31)),"",TRIM(MID(SUBSTITUTE(D31,",",REPT(" ",100)),(ROW(INDIRECT("1:"&amp;(LEN(D31)-LEN(SUBSTITUTE(D31,",",""))+1)))-1)*100+1,100))))</f>
        <v>Excel</v>
      </c>
      <c r="H31" t="str" cm="1">
        <f t="array" ref="H31">_xlfn.IFS(
  E31&lt;21, "0-20",
  E31&lt;41, "21-40",
  E31&lt;61, "41-60",
  E31&lt;81, "61-80",
  TRUE,   "81-100"
)</f>
        <v>61-80</v>
      </c>
    </row>
    <row r="32" spans="1:8">
      <c r="A32" t="s">
        <v>76</v>
      </c>
      <c r="B32" t="s">
        <v>77</v>
      </c>
      <c r="C32" t="s">
        <v>9</v>
      </c>
      <c r="D32" t="s">
        <v>10</v>
      </c>
      <c r="E32" cm="1">
        <f t="array" ref="E32">SUM(--ISNUMBER(SEARCH(_xlfn.TEXTSPLIT(D32,","),B32)))/COUNTA(_xlfn.TEXTSPLIT(D32,","))*100</f>
        <v>80</v>
      </c>
      <c r="F32" t="str" cm="1">
        <f t="array" ref="F32">_xlfn.IFS(E32&lt;35,"Low", E32&lt;=65,"Medium", E32&gt;65,"High")</f>
        <v>High</v>
      </c>
      <c r="G32" s="1" t="str" cm="1">
        <f t="array" ref="G32" ca="1">_xlfn.TEXTJOIN(", ",TRUE,IF(ISNUMBER(SEARCH(TRIM(MID(SUBSTITUTE(D32,",",REPT(" ",100)),(ROW(INDIRECT("1:"&amp;(LEN(D32)-LEN(SUBSTITUTE(D32,",",""))+1)))-1)*100+1,100)),B32)),"",TRIM(MID(SUBSTITUTE(D32,",",REPT(" ",100)),(ROW(INDIRECT("1:"&amp;(LEN(D32)-LEN(SUBSTITUTE(D32,",",""))+1)))-1)*100+1,100))))</f>
        <v>Tableau</v>
      </c>
      <c r="H32" t="str" cm="1">
        <f t="array" ref="H32">_xlfn.IFS(
  E32&lt;21, "0-20",
  E32&lt;41, "21-40",
  E32&lt;61, "41-60",
  E32&lt;81, "61-80",
  TRUE,   "81-100"
)</f>
        <v>61-80</v>
      </c>
    </row>
    <row r="33" spans="1:8">
      <c r="A33" t="s">
        <v>78</v>
      </c>
      <c r="B33" t="s">
        <v>79</v>
      </c>
      <c r="C33" t="s">
        <v>13</v>
      </c>
      <c r="D33" t="s">
        <v>14</v>
      </c>
      <c r="E33" cm="1">
        <f t="array" ref="E33">SUM(--ISNUMBER(SEARCH(_xlfn.TEXTSPLIT(D33,","),B33)))/COUNTA(_xlfn.TEXTSPLIT(D33,","))*100</f>
        <v>33.333333333333329</v>
      </c>
      <c r="F33" t="str" cm="1">
        <f t="array" ref="F33">_xlfn.IFS(E33&lt;35,"Low", E33&lt;=65,"Medium", E33&gt;65,"High")</f>
        <v>Low</v>
      </c>
      <c r="G33" s="1" t="str" cm="1">
        <f t="array" ref="G33" ca="1">_xlfn.TEXTJOIN(", ",TRUE,IF(ISNUMBER(SEARCH(TRIM(MID(SUBSTITUTE(D33,",",REPT(" ",100)),(ROW(INDIRECT("1:"&amp;(LEN(D33)-LEN(SUBSTITUTE(D33,",",""))+1)))-1)*100+1,100)),B33)),"",TRIM(MID(SUBSTITUTE(D33,",",REPT(" ",100)),(ROW(INDIRECT("1:"&amp;(LEN(D33)-LEN(SUBSTITUTE(D33,",",""))+1)))-1)*100+1,100))))</f>
        <v>Python, CSS, JavaScript</v>
      </c>
      <c r="H33" t="str" cm="1">
        <f t="array" ref="H33">_xlfn.IFS(
  E33&lt;21, "0-20",
  E33&lt;41, "21-40",
  E33&lt;61, "41-60",
  E33&lt;81, "61-80",
  TRUE,   "81-100"
)</f>
        <v>21-40</v>
      </c>
    </row>
    <row r="34" spans="1:8">
      <c r="A34" t="s">
        <v>80</v>
      </c>
      <c r="B34" t="s">
        <v>81</v>
      </c>
      <c r="C34" t="s">
        <v>17</v>
      </c>
      <c r="D34" t="s">
        <v>18</v>
      </c>
      <c r="E34" cm="1">
        <f t="array" ref="E34">SUM(--ISNUMBER(SEARCH(_xlfn.TEXTSPLIT(D34,","),B34)))/COUNTA(_xlfn.TEXTSPLIT(D34,","))*100</f>
        <v>75</v>
      </c>
      <c r="F34" t="str" cm="1">
        <f t="array" ref="F34">_xlfn.IFS(E34&lt;35,"Low", E34&lt;=65,"Medium", E34&gt;65,"High")</f>
        <v>High</v>
      </c>
      <c r="G34" s="1" t="str" cm="1">
        <f t="array" ref="G34" ca="1">_xlfn.TEXTJOIN(", ",TRUE,IF(ISNUMBER(SEARCH(TRIM(MID(SUBSTITUTE(D34,",",REPT(" ",100)),(ROW(INDIRECT("1:"&amp;(LEN(D34)-LEN(SUBSTITUTE(D34,",",""))+1)))-1)*100+1,100)),B34)),"",TRIM(MID(SUBSTITUTE(D34,",",REPT(" ",100)),(ROW(INDIRECT("1:"&amp;(LEN(D34)-LEN(SUBSTITUTE(D34,",",""))+1)))-1)*100+1,100))))</f>
        <v>Communication</v>
      </c>
      <c r="H34" t="str" cm="1">
        <f t="array" ref="H34">_xlfn.IFS(
  E34&lt;21, "0-20",
  E34&lt;41, "21-40",
  E34&lt;61, "41-60",
  E34&lt;81, "61-80",
  TRUE,   "81-100"
)</f>
        <v>61-80</v>
      </c>
    </row>
    <row r="35" spans="1:8">
      <c r="A35" t="s">
        <v>82</v>
      </c>
      <c r="B35" t="s">
        <v>83</v>
      </c>
      <c r="C35" t="s">
        <v>21</v>
      </c>
      <c r="D35" t="s">
        <v>22</v>
      </c>
      <c r="E35" cm="1">
        <f t="array" ref="E35">SUM(--ISNUMBER(SEARCH(_xlfn.TEXTSPLIT(D35,","),B35)))/COUNTA(_xlfn.TEXTSPLIT(D35,","))*100</f>
        <v>60</v>
      </c>
      <c r="F35" t="str" cm="1">
        <f t="array" ref="F35">_xlfn.IFS(E35&lt;35,"Low", E35&lt;=65,"Medium", E35&gt;65,"High")</f>
        <v>Medium</v>
      </c>
      <c r="G35" s="1" t="str" cm="1">
        <f t="array" ref="G35" ca="1">_xlfn.TEXTJOIN(", ",TRUE,IF(ISNUMBER(SEARCH(TRIM(MID(SUBSTITUTE(D35,",",REPT(" ",100)),(ROW(INDIRECT("1:"&amp;(LEN(D35)-LEN(SUBSTITUTE(D35,",",""))+1)))-1)*100+1,100)),B35)),"",TRIM(MID(SUBSTITUTE(D35,",",REPT(" ",100)),(ROW(INDIRECT("1:"&amp;(LEN(D35)-LEN(SUBSTITUTE(D35,",",""))+1)))-1)*100+1,100))))</f>
        <v>Sales, Excel</v>
      </c>
      <c r="H35" t="str" cm="1">
        <f t="array" ref="H35">_xlfn.IFS(
  E35&lt;21, "0-20",
  E35&lt;41, "21-40",
  E35&lt;61, "41-60",
  E35&lt;81, "61-80",
  TRUE,   "81-100"
)</f>
        <v>41-60</v>
      </c>
    </row>
    <row r="36" spans="1:8">
      <c r="A36" t="s">
        <v>84</v>
      </c>
      <c r="B36" t="s">
        <v>46</v>
      </c>
      <c r="C36" t="s">
        <v>25</v>
      </c>
      <c r="D36" t="s">
        <v>26</v>
      </c>
      <c r="E36" cm="1">
        <f t="array" ref="E36">SUM(--ISNUMBER(SEARCH(_xlfn.TEXTSPLIT(D36,","),B36)))/COUNTA(_xlfn.TEXTSPLIT(D36,","))*100</f>
        <v>75</v>
      </c>
      <c r="F36" t="str" cm="1">
        <f t="array" ref="F36">_xlfn.IFS(E36&lt;35,"Low", E36&lt;=65,"Medium", E36&gt;65,"High")</f>
        <v>High</v>
      </c>
      <c r="G36" s="1" t="str" cm="1">
        <f t="array" ref="G36" ca="1">_xlfn.TEXTJOIN(", ",TRUE,IF(ISNUMBER(SEARCH(TRIM(MID(SUBSTITUTE(D36,",",REPT(" ",100)),(ROW(INDIRECT("1:"&amp;(LEN(D36)-LEN(SUBSTITUTE(D36,",",""))+1)))-1)*100+1,100)),B36)),"",TRIM(MID(SUBSTITUTE(D36,",",REPT(" ",100)),(ROW(INDIRECT("1:"&amp;(LEN(D36)-LEN(SUBSTITUTE(D36,",",""))+1)))-1)*100+1,100))))</f>
        <v>Communication</v>
      </c>
      <c r="H36" t="str" cm="1">
        <f t="array" ref="H36">_xlfn.IFS(
  E36&lt;21, "0-20",
  E36&lt;41, "21-40",
  E36&lt;61, "41-60",
  E36&lt;81, "61-80",
  TRUE,   "81-100"
)</f>
        <v>61-80</v>
      </c>
    </row>
    <row r="37" spans="1:8">
      <c r="A37" t="s">
        <v>85</v>
      </c>
      <c r="B37" t="s">
        <v>86</v>
      </c>
      <c r="C37" t="s">
        <v>9</v>
      </c>
      <c r="D37" t="s">
        <v>10</v>
      </c>
      <c r="E37" cm="1">
        <f t="array" ref="E37">SUM(--ISNUMBER(SEARCH(_xlfn.TEXTSPLIT(D37,","),B37)))/COUNTA(_xlfn.TEXTSPLIT(D37,","))*100</f>
        <v>60</v>
      </c>
      <c r="F37" t="str" cm="1">
        <f t="array" ref="F37">_xlfn.IFS(E37&lt;35,"Low", E37&lt;=65,"Medium", E37&gt;65,"High")</f>
        <v>Medium</v>
      </c>
      <c r="G37" s="1" t="str" cm="1">
        <f t="array" ref="G37" ca="1">_xlfn.TEXTJOIN(", ",TRUE,IF(ISNUMBER(SEARCH(TRIM(MID(SUBSTITUTE(D37,",",REPT(" ",100)),(ROW(INDIRECT("1:"&amp;(LEN(D37)-LEN(SUBSTITUTE(D37,",",""))+1)))-1)*100+1,100)),B37)),"",TRIM(MID(SUBSTITUTE(D37,",",REPT(" ",100)),(ROW(INDIRECT("1:"&amp;(LEN(D37)-LEN(SUBSTITUTE(D37,",",""))+1)))-1)*100+1,100))))</f>
        <v>SQL, Excel</v>
      </c>
      <c r="H37" t="str" cm="1">
        <f t="array" ref="H37">_xlfn.IFS(
  E37&lt;21, "0-20",
  E37&lt;41, "21-40",
  E37&lt;61, "41-60",
  E37&lt;81, "61-80",
  TRUE,   "81-100"
)</f>
        <v>41-60</v>
      </c>
    </row>
    <row r="38" spans="1:8">
      <c r="A38" t="s">
        <v>87</v>
      </c>
      <c r="B38" t="s">
        <v>88</v>
      </c>
      <c r="C38" t="s">
        <v>13</v>
      </c>
      <c r="D38" t="s">
        <v>14</v>
      </c>
      <c r="E38" cm="1">
        <f t="array" ref="E38">SUM(--ISNUMBER(SEARCH(_xlfn.TEXTSPLIT(D38,","),B38)))/COUNTA(_xlfn.TEXTSPLIT(D38,","))*100</f>
        <v>66.666666666666657</v>
      </c>
      <c r="F38" t="str" cm="1">
        <f t="array" ref="F38">_xlfn.IFS(E38&lt;35,"Low", E38&lt;=65,"Medium", E38&gt;65,"High")</f>
        <v>High</v>
      </c>
      <c r="G38" s="1" t="str" cm="1">
        <f t="array" ref="G38" ca="1">_xlfn.TEXTJOIN(", ",TRUE,IF(ISNUMBER(SEARCH(TRIM(MID(SUBSTITUTE(D38,",",REPT(" ",100)),(ROW(INDIRECT("1:"&amp;(LEN(D38)-LEN(SUBSTITUTE(D38,",",""))+1)))-1)*100+1,100)),B38)),"",TRIM(MID(SUBSTITUTE(D38,",",REPT(" ",100)),(ROW(INDIRECT("1:"&amp;(LEN(D38)-LEN(SUBSTITUTE(D38,",",""))+1)))-1)*100+1,100))))</f>
        <v>Python, C++</v>
      </c>
      <c r="H38" t="str" cm="1">
        <f t="array" ref="H38">_xlfn.IFS(
  E38&lt;21, "0-20",
  E38&lt;41, "21-40",
  E38&lt;61, "41-60",
  E38&lt;81, "61-80",
  TRUE,   "81-100"
)</f>
        <v>61-80</v>
      </c>
    </row>
    <row r="39" spans="1:8">
      <c r="A39" t="s">
        <v>89</v>
      </c>
      <c r="B39" t="s">
        <v>90</v>
      </c>
      <c r="C39" t="s">
        <v>17</v>
      </c>
      <c r="D39" t="s">
        <v>18</v>
      </c>
      <c r="E39" cm="1">
        <f t="array" ref="E39">SUM(--ISNUMBER(SEARCH(_xlfn.TEXTSPLIT(D39,","),B39)))/COUNTA(_xlfn.TEXTSPLIT(D39,","))*100</f>
        <v>50</v>
      </c>
      <c r="F39" t="str" cm="1">
        <f t="array" ref="F39">_xlfn.IFS(E39&lt;35,"Low", E39&lt;=65,"Medium", E39&gt;65,"High")</f>
        <v>Medium</v>
      </c>
      <c r="G39" s="1" t="str" cm="1">
        <f t="array" ref="G39" ca="1">_xlfn.TEXTJOIN(", ",TRUE,IF(ISNUMBER(SEARCH(TRIM(MID(SUBSTITUTE(D39,",",REPT(" ",100)),(ROW(INDIRECT("1:"&amp;(LEN(D39)-LEN(SUBSTITUTE(D39,",",""))+1)))-1)*100+1,100)),B39)),"",TRIM(MID(SUBSTITUTE(D39,",",REPT(" ",100)),(ROW(INDIRECT("1:"&amp;(LEN(D39)-LEN(SUBSTITUTE(D39,",",""))+1)))-1)*100+1,100))))</f>
        <v>Excel</v>
      </c>
      <c r="H39" t="str" cm="1">
        <f t="array" ref="H39">_xlfn.IFS(
  E39&lt;21, "0-20",
  E39&lt;41, "21-40",
  E39&lt;61, "41-60",
  E39&lt;81, "61-80",
  TRUE,   "81-100"
)</f>
        <v>41-60</v>
      </c>
    </row>
    <row r="40" spans="1:8">
      <c r="A40" t="s">
        <v>91</v>
      </c>
      <c r="B40" t="s">
        <v>92</v>
      </c>
      <c r="C40" t="s">
        <v>21</v>
      </c>
      <c r="D40" t="s">
        <v>22</v>
      </c>
      <c r="E40" cm="1">
        <f t="array" ref="E40">SUM(--ISNUMBER(SEARCH(_xlfn.TEXTSPLIT(D40,","),B40)))/COUNTA(_xlfn.TEXTSPLIT(D40,","))*100</f>
        <v>60</v>
      </c>
      <c r="F40" t="str" cm="1">
        <f t="array" ref="F40">_xlfn.IFS(E40&lt;35,"Low", E40&lt;=65,"Medium", E40&gt;65,"High")</f>
        <v>Medium</v>
      </c>
      <c r="G40" s="1" t="str" cm="1">
        <f t="array" ref="G40" ca="1">_xlfn.TEXTJOIN(", ",TRUE,IF(ISNUMBER(SEARCH(TRIM(MID(SUBSTITUTE(D40,",",REPT(" ",100)),(ROW(INDIRECT("1:"&amp;(LEN(D40)-LEN(SUBSTITUTE(D40,",",""))+1)))-1)*100+1,100)),B40)),"",TRIM(MID(SUBSTITUTE(D40,",",REPT(" ",100)),(ROW(INDIRECT("1:"&amp;(LEN(D40)-LEN(SUBSTITUTE(D40,",",""))+1)))-1)*100+1,100))))</f>
        <v>Communication, PowerPoint</v>
      </c>
      <c r="H40" t="str" cm="1">
        <f t="array" ref="H40">_xlfn.IFS(
  E40&lt;21, "0-20",
  E40&lt;41, "21-40",
  E40&lt;61, "41-60",
  E40&lt;81, "61-80",
  TRUE,   "81-100"
)</f>
        <v>41-60</v>
      </c>
    </row>
    <row r="41" spans="1:8">
      <c r="A41" t="s">
        <v>93</v>
      </c>
      <c r="B41" t="s">
        <v>56</v>
      </c>
      <c r="C41" t="s">
        <v>25</v>
      </c>
      <c r="D41" t="s">
        <v>26</v>
      </c>
      <c r="E41" cm="1">
        <f t="array" ref="E41">SUM(--ISNUMBER(SEARCH(_xlfn.TEXTSPLIT(D41,","),B41)))/COUNTA(_xlfn.TEXTSPLIT(D41,","))*100</f>
        <v>75</v>
      </c>
      <c r="F41" t="str" cm="1">
        <f t="array" ref="F41">_xlfn.IFS(E41&lt;35,"Low", E41&lt;=65,"Medium", E41&gt;65,"High")</f>
        <v>High</v>
      </c>
      <c r="G41" s="1" t="str" cm="1">
        <f t="array" ref="G41" ca="1">_xlfn.TEXTJOIN(", ",TRUE,IF(ISNUMBER(SEARCH(TRIM(MID(SUBSTITUTE(D41,",",REPT(" ",100)),(ROW(INDIRECT("1:"&amp;(LEN(D41)-LEN(SUBSTITUTE(D41,",",""))+1)))-1)*100+1,100)),B41)),"",TRIM(MID(SUBSTITUTE(D41,",",REPT(" ",100)),(ROW(INDIRECT("1:"&amp;(LEN(D41)-LEN(SUBSTITUTE(D41,",",""))+1)))-1)*100+1,100))))</f>
        <v>Customer Service</v>
      </c>
      <c r="H41" t="str" cm="1">
        <f t="array" ref="H41">_xlfn.IFS(
  E41&lt;21, "0-20",
  E41&lt;41, "21-40",
  E41&lt;61, "41-60",
  E41&lt;81, "61-80",
  TRUE,   "81-100"
)</f>
        <v>61-80</v>
      </c>
    </row>
    <row r="42" spans="1:8">
      <c r="A42" t="s">
        <v>94</v>
      </c>
      <c r="B42" t="s">
        <v>95</v>
      </c>
      <c r="C42" t="s">
        <v>9</v>
      </c>
      <c r="D42" t="s">
        <v>10</v>
      </c>
      <c r="E42" cm="1">
        <f t="array" ref="E42">SUM(--ISNUMBER(SEARCH(_xlfn.TEXTSPLIT(D42,","),B42)))/COUNTA(_xlfn.TEXTSPLIT(D42,","))*100</f>
        <v>80</v>
      </c>
      <c r="F42" t="str" cm="1">
        <f t="array" ref="F42">_xlfn.IFS(E42&lt;35,"Low", E42&lt;=65,"Medium", E42&gt;65,"High")</f>
        <v>High</v>
      </c>
      <c r="G42" s="1" t="str" cm="1">
        <f t="array" ref="G42" ca="1">_xlfn.TEXTJOIN(", ",TRUE,IF(ISNUMBER(SEARCH(TRIM(MID(SUBSTITUTE(D42,",",REPT(" ",100)),(ROW(INDIRECT("1:"&amp;(LEN(D42)-LEN(SUBSTITUTE(D42,",",""))+1)))-1)*100+1,100)),B42)),"",TRIM(MID(SUBSTITUTE(D42,",",REPT(" ",100)),(ROW(INDIRECT("1:"&amp;(LEN(D42)-LEN(SUBSTITUTE(D42,",",""))+1)))-1)*100+1,100))))</f>
        <v>R</v>
      </c>
      <c r="H42" t="str" cm="1">
        <f t="array" ref="H42">_xlfn.IFS(
  E42&lt;21, "0-20",
  E42&lt;41, "21-40",
  E42&lt;61, "41-60",
  E42&lt;81, "61-80",
  TRUE,   "81-100"
)</f>
        <v>61-80</v>
      </c>
    </row>
    <row r="43" spans="1:8">
      <c r="A43" t="s">
        <v>96</v>
      </c>
      <c r="B43" t="s">
        <v>97</v>
      </c>
      <c r="C43" t="s">
        <v>13</v>
      </c>
      <c r="D43" t="s">
        <v>14</v>
      </c>
      <c r="E43" cm="1">
        <f t="array" ref="E43">SUM(--ISNUMBER(SEARCH(_xlfn.TEXTSPLIT(D43,","),B43)))/COUNTA(_xlfn.TEXTSPLIT(D43,","))*100</f>
        <v>33.333333333333329</v>
      </c>
      <c r="F43" t="str" cm="1">
        <f t="array" ref="F43">_xlfn.IFS(E43&lt;35,"Low", E43&lt;=65,"Medium", E43&gt;65,"High")</f>
        <v>Low</v>
      </c>
      <c r="G43" s="1" t="str" cm="1">
        <f t="array" ref="G43" ca="1">_xlfn.TEXTJOIN(", ",TRUE,IF(ISNUMBER(SEARCH(TRIM(MID(SUBSTITUTE(D43,",",REPT(" ",100)),(ROW(INDIRECT("1:"&amp;(LEN(D43)-LEN(SUBSTITUTE(D43,",",""))+1)))-1)*100+1,100)),B43)),"",TRIM(MID(SUBSTITUTE(D43,",",REPT(" ",100)),(ROW(INDIRECT("1:"&amp;(LEN(D43)-LEN(SUBSTITUTE(D43,",",""))+1)))-1)*100+1,100))))</f>
        <v>Python, HTML, JavaScript</v>
      </c>
      <c r="H43" t="str" cm="1">
        <f t="array" ref="H43">_xlfn.IFS(
  E43&lt;21, "0-20",
  E43&lt;41, "21-40",
  E43&lt;61, "41-60",
  E43&lt;81, "61-80",
  TRUE,   "81-100"
)</f>
        <v>21-40</v>
      </c>
    </row>
    <row r="44" spans="1:8">
      <c r="A44" t="s">
        <v>98</v>
      </c>
      <c r="B44" t="s">
        <v>81</v>
      </c>
      <c r="C44" t="s">
        <v>17</v>
      </c>
      <c r="D44" t="s">
        <v>18</v>
      </c>
      <c r="E44" cm="1">
        <f t="array" ref="E44">SUM(--ISNUMBER(SEARCH(_xlfn.TEXTSPLIT(D44,","),B44)))/COUNTA(_xlfn.TEXTSPLIT(D44,","))*100</f>
        <v>75</v>
      </c>
      <c r="F44" t="str" cm="1">
        <f t="array" ref="F44">_xlfn.IFS(E44&lt;35,"Low", E44&lt;=65,"Medium", E44&gt;65,"High")</f>
        <v>High</v>
      </c>
      <c r="G44" s="1" t="str" cm="1">
        <f t="array" ref="G44" ca="1">_xlfn.TEXTJOIN(", ",TRUE,IF(ISNUMBER(SEARCH(TRIM(MID(SUBSTITUTE(D44,",",REPT(" ",100)),(ROW(INDIRECT("1:"&amp;(LEN(D44)-LEN(SUBSTITUTE(D44,",",""))+1)))-1)*100+1,100)),B44)),"",TRIM(MID(SUBSTITUTE(D44,",",REPT(" ",100)),(ROW(INDIRECT("1:"&amp;(LEN(D44)-LEN(SUBSTITUTE(D44,",",""))+1)))-1)*100+1,100))))</f>
        <v>Communication</v>
      </c>
      <c r="H44" t="str" cm="1">
        <f t="array" ref="H44">_xlfn.IFS(
  E44&lt;21, "0-20",
  E44&lt;41, "21-40",
  E44&lt;61, "41-60",
  E44&lt;81, "61-80",
  TRUE,   "81-100"
)</f>
        <v>61-80</v>
      </c>
    </row>
    <row r="45" spans="1:8">
      <c r="A45" t="s">
        <v>99</v>
      </c>
      <c r="B45" t="s">
        <v>83</v>
      </c>
      <c r="C45" t="s">
        <v>21</v>
      </c>
      <c r="D45" t="s">
        <v>22</v>
      </c>
      <c r="E45" cm="1">
        <f t="array" ref="E45">SUM(--ISNUMBER(SEARCH(_xlfn.TEXTSPLIT(D45,","),B45)))/COUNTA(_xlfn.TEXTSPLIT(D45,","))*100</f>
        <v>60</v>
      </c>
      <c r="F45" t="str" cm="1">
        <f t="array" ref="F45">_xlfn.IFS(E45&lt;35,"Low", E45&lt;=65,"Medium", E45&gt;65,"High")</f>
        <v>Medium</v>
      </c>
      <c r="G45" s="1" t="str" cm="1">
        <f t="array" ref="G45" ca="1">_xlfn.TEXTJOIN(", ",TRUE,IF(ISNUMBER(SEARCH(TRIM(MID(SUBSTITUTE(D45,",",REPT(" ",100)),(ROW(INDIRECT("1:"&amp;(LEN(D45)-LEN(SUBSTITUTE(D45,",",""))+1)))-1)*100+1,100)),B45)),"",TRIM(MID(SUBSTITUTE(D45,",",REPT(" ",100)),(ROW(INDIRECT("1:"&amp;(LEN(D45)-LEN(SUBSTITUTE(D45,",",""))+1)))-1)*100+1,100))))</f>
        <v>Sales, Excel</v>
      </c>
      <c r="H45" t="str" cm="1">
        <f t="array" ref="H45">_xlfn.IFS(
  E45&lt;21, "0-20",
  E45&lt;41, "21-40",
  E45&lt;61, "41-60",
  E45&lt;81, "61-80",
  TRUE,   "81-100"
)</f>
        <v>41-60</v>
      </c>
    </row>
    <row r="46" spans="1:8">
      <c r="A46" t="s">
        <v>100</v>
      </c>
      <c r="B46" t="s">
        <v>24</v>
      </c>
      <c r="C46" t="s">
        <v>25</v>
      </c>
      <c r="D46" t="s">
        <v>26</v>
      </c>
      <c r="E46" cm="1">
        <f t="array" ref="E46">SUM(--ISNUMBER(SEARCH(_xlfn.TEXTSPLIT(D46,","),B46)))/COUNTA(_xlfn.TEXTSPLIT(D46,","))*100</f>
        <v>75</v>
      </c>
      <c r="F46" t="str" cm="1">
        <f t="array" ref="F46">_xlfn.IFS(E46&lt;35,"Low", E46&lt;=65,"Medium", E46&gt;65,"High")</f>
        <v>High</v>
      </c>
      <c r="G46" s="1" t="str" cm="1">
        <f t="array" ref="G46" ca="1">_xlfn.TEXTJOIN(", ",TRUE,IF(ISNUMBER(SEARCH(TRIM(MID(SUBSTITUTE(D46,",",REPT(" ",100)),(ROW(INDIRECT("1:"&amp;(LEN(D46)-LEN(SUBSTITUTE(D46,",",""))+1)))-1)*100+1,100)),B46)),"",TRIM(MID(SUBSTITUTE(D46,",",REPT(" ",100)),(ROW(INDIRECT("1:"&amp;(LEN(D46)-LEN(SUBSTITUTE(D46,",",""))+1)))-1)*100+1,100))))</f>
        <v>Excel</v>
      </c>
      <c r="H46" t="str" cm="1">
        <f t="array" ref="H46">_xlfn.IFS(
  E46&lt;21, "0-20",
  E46&lt;41, "21-40",
  E46&lt;61, "41-60",
  E46&lt;81, "61-80",
  TRUE,   "81-100"
)</f>
        <v>61-80</v>
      </c>
    </row>
    <row r="47" spans="1:8">
      <c r="A47" t="s">
        <v>101</v>
      </c>
      <c r="B47" t="s">
        <v>102</v>
      </c>
      <c r="C47" t="s">
        <v>9</v>
      </c>
      <c r="D47" t="s">
        <v>10</v>
      </c>
      <c r="E47" cm="1">
        <f t="array" ref="E47">SUM(--ISNUMBER(SEARCH(_xlfn.TEXTSPLIT(D47,","),B47)))/COUNTA(_xlfn.TEXTSPLIT(D47,","))*100</f>
        <v>60</v>
      </c>
      <c r="F47" t="str" cm="1">
        <f t="array" ref="F47">_xlfn.IFS(E47&lt;35,"Low", E47&lt;=65,"Medium", E47&gt;65,"High")</f>
        <v>Medium</v>
      </c>
      <c r="G47" s="1" t="str" cm="1">
        <f t="array" ref="G47" ca="1">_xlfn.TEXTJOIN(", ",TRUE,IF(ISNUMBER(SEARCH(TRIM(MID(SUBSTITUTE(D47,",",REPT(" ",100)),(ROW(INDIRECT("1:"&amp;(LEN(D47)-LEN(SUBSTITUTE(D47,",",""))+1)))-1)*100+1,100)),B47)),"",TRIM(MID(SUBSTITUTE(D47,",",REPT(" ",100)),(ROW(INDIRECT("1:"&amp;(LEN(D47)-LEN(SUBSTITUTE(D47,",",""))+1)))-1)*100+1,100))))</f>
        <v>Excel, Tableau</v>
      </c>
      <c r="H47" t="str" cm="1">
        <f t="array" ref="H47">_xlfn.IFS(
  E47&lt;21, "0-20",
  E47&lt;41, "21-40",
  E47&lt;61, "41-60",
  E47&lt;81, "61-80",
  TRUE,   "81-100"
)</f>
        <v>41-60</v>
      </c>
    </row>
    <row r="48" spans="1:8">
      <c r="A48" t="s">
        <v>103</v>
      </c>
      <c r="B48" t="s">
        <v>88</v>
      </c>
      <c r="C48" t="s">
        <v>13</v>
      </c>
      <c r="D48" t="s">
        <v>14</v>
      </c>
      <c r="E48" cm="1">
        <f t="array" ref="E48">SUM(--ISNUMBER(SEARCH(_xlfn.TEXTSPLIT(D48,","),B48)))/COUNTA(_xlfn.TEXTSPLIT(D48,","))*100</f>
        <v>66.666666666666657</v>
      </c>
      <c r="F48" t="str" cm="1">
        <f t="array" ref="F48">_xlfn.IFS(E48&lt;35,"Low", E48&lt;=65,"Medium", E48&gt;65,"High")</f>
        <v>High</v>
      </c>
      <c r="G48" s="1" t="str" cm="1">
        <f t="array" ref="G48" ca="1">_xlfn.TEXTJOIN(", ",TRUE,IF(ISNUMBER(SEARCH(TRIM(MID(SUBSTITUTE(D48,",",REPT(" ",100)),(ROW(INDIRECT("1:"&amp;(LEN(D48)-LEN(SUBSTITUTE(D48,",",""))+1)))-1)*100+1,100)),B48)),"",TRIM(MID(SUBSTITUTE(D48,",",REPT(" ",100)),(ROW(INDIRECT("1:"&amp;(LEN(D48)-LEN(SUBSTITUTE(D48,",",""))+1)))-1)*100+1,100))))</f>
        <v>Python, C++</v>
      </c>
      <c r="H48" t="str" cm="1">
        <f t="array" ref="H48">_xlfn.IFS(
  E48&lt;21, "0-20",
  E48&lt;41, "21-40",
  E48&lt;61, "41-60",
  E48&lt;81, "61-80",
  TRUE,   "81-100"
)</f>
        <v>61-80</v>
      </c>
    </row>
    <row r="49" spans="1:8">
      <c r="A49" t="s">
        <v>104</v>
      </c>
      <c r="B49" t="s">
        <v>105</v>
      </c>
      <c r="C49" t="s">
        <v>17</v>
      </c>
      <c r="D49" t="s">
        <v>18</v>
      </c>
      <c r="E49" cm="1">
        <f t="array" ref="E49">SUM(--ISNUMBER(SEARCH(_xlfn.TEXTSPLIT(D49,","),B49)))/COUNTA(_xlfn.TEXTSPLIT(D49,","))*100</f>
        <v>50</v>
      </c>
      <c r="F49" t="str" cm="1">
        <f t="array" ref="F49">_xlfn.IFS(E49&lt;35,"Low", E49&lt;=65,"Medium", E49&gt;65,"High")</f>
        <v>Medium</v>
      </c>
      <c r="G49" s="1" t="str" cm="1">
        <f t="array" ref="G49" ca="1">_xlfn.TEXTJOIN(", ",TRUE,IF(ISNUMBER(SEARCH(TRIM(MID(SUBSTITUTE(D49,",",REPT(" ",100)),(ROW(INDIRECT("1:"&amp;(LEN(D49)-LEN(SUBSTITUTE(D49,",",""))+1)))-1)*100+1,100)),B49)),"",TRIM(MID(SUBSTITUTE(D49,",",REPT(" ",100)),(ROW(INDIRECT("1:"&amp;(LEN(D49)-LEN(SUBSTITUTE(D49,",",""))+1)))-1)*100+1,100))))</f>
        <v>Communication</v>
      </c>
      <c r="H49" t="str" cm="1">
        <f t="array" ref="H49">_xlfn.IFS(
  E49&lt;21, "0-20",
  E49&lt;41, "21-40",
  E49&lt;61, "41-60",
  E49&lt;81, "61-80",
  TRUE,   "81-100"
)</f>
        <v>41-60</v>
      </c>
    </row>
    <row r="50" spans="1:8">
      <c r="A50" t="s">
        <v>106</v>
      </c>
      <c r="B50" t="s">
        <v>54</v>
      </c>
      <c r="C50" t="s">
        <v>21</v>
      </c>
      <c r="D50" t="s">
        <v>22</v>
      </c>
      <c r="E50" cm="1">
        <f t="array" ref="E50">SUM(--ISNUMBER(SEARCH(_xlfn.TEXTSPLIT(D50,","),B50)))/COUNTA(_xlfn.TEXTSPLIT(D50,","))*100</f>
        <v>60</v>
      </c>
      <c r="F50" t="str" cm="1">
        <f t="array" ref="F50">_xlfn.IFS(E50&lt;35,"Low", E50&lt;=65,"Medium", E50&gt;65,"High")</f>
        <v>Medium</v>
      </c>
      <c r="G50" s="1" t="str" cm="1">
        <f t="array" ref="G50" ca="1">_xlfn.TEXTJOIN(", ",TRUE,IF(ISNUMBER(SEARCH(TRIM(MID(SUBSTITUTE(D50,",",REPT(" ",100)),(ROW(INDIRECT("1:"&amp;(LEN(D50)-LEN(SUBSTITUTE(D50,",",""))+1)))-1)*100+1,100)),B50)),"",TRIM(MID(SUBSTITUTE(D50,",",REPT(" ",100)),(ROW(INDIRECT("1:"&amp;(LEN(D50)-LEN(SUBSTITUTE(D50,",",""))+1)))-1)*100+1,100))))</f>
        <v>Sales, Excel</v>
      </c>
      <c r="H50" t="str" cm="1">
        <f t="array" ref="H50">_xlfn.IFS(
  E50&lt;21, "0-20",
  E50&lt;41, "21-40",
  E50&lt;61, "41-60",
  E50&lt;81, "61-80",
  TRUE,   "81-100"
)</f>
        <v>41-60</v>
      </c>
    </row>
    <row r="51" spans="1:8">
      <c r="A51" t="s">
        <v>107</v>
      </c>
      <c r="B51" t="s">
        <v>56</v>
      </c>
      <c r="C51" t="s">
        <v>25</v>
      </c>
      <c r="D51" t="s">
        <v>26</v>
      </c>
      <c r="E51" cm="1">
        <f t="array" ref="E51">SUM(--ISNUMBER(SEARCH(_xlfn.TEXTSPLIT(D51,","),B51)))/COUNTA(_xlfn.TEXTSPLIT(D51,","))*100</f>
        <v>75</v>
      </c>
      <c r="F51" t="str" cm="1">
        <f t="array" ref="F51">_xlfn.IFS(E51&lt;35,"Low", E51&lt;=65,"Medium", E51&gt;65,"High")</f>
        <v>High</v>
      </c>
      <c r="G51" s="1" t="str" cm="1">
        <f t="array" ref="G51" ca="1">_xlfn.TEXTJOIN(", ",TRUE,IF(ISNUMBER(SEARCH(TRIM(MID(SUBSTITUTE(D51,",",REPT(" ",100)),(ROW(INDIRECT("1:"&amp;(LEN(D51)-LEN(SUBSTITUTE(D51,",",""))+1)))-1)*100+1,100)),B51)),"",TRIM(MID(SUBSTITUTE(D51,",",REPT(" ",100)),(ROW(INDIRECT("1:"&amp;(LEN(D51)-LEN(SUBSTITUTE(D51,",",""))+1)))-1)*100+1,100))))</f>
        <v>Customer Service</v>
      </c>
      <c r="H51" t="str" cm="1">
        <f t="array" ref="H51">_xlfn.IFS(
  E51&lt;21, "0-20",
  E51&lt;41, "21-40",
  E51&lt;61, "41-60",
  E51&lt;81, "61-80",
  TRUE,   "81-100"
)</f>
        <v>61-80</v>
      </c>
    </row>
    <row r="52" spans="1:8">
      <c r="A52" t="s">
        <v>108</v>
      </c>
      <c r="B52" t="s">
        <v>8</v>
      </c>
      <c r="C52" t="s">
        <v>9</v>
      </c>
      <c r="D52" t="s">
        <v>10</v>
      </c>
      <c r="E52" cm="1">
        <f t="array" ref="E52">SUM(--ISNUMBER(SEARCH(_xlfn.TEXTSPLIT(D52,","),B52)))/COUNTA(_xlfn.TEXTSPLIT(D52,","))*100</f>
        <v>60</v>
      </c>
      <c r="F52" t="str" cm="1">
        <f t="array" ref="F52">_xlfn.IFS(E52&lt;35,"Low", E52&lt;=65,"Medium", E52&gt;65,"High")</f>
        <v>Medium</v>
      </c>
      <c r="G52" s="1" t="str" cm="1">
        <f t="array" ref="G52" ca="1">_xlfn.TEXTJOIN(", ",TRUE,IF(ISNUMBER(SEARCH(TRIM(MID(SUBSTITUTE(D52,",",REPT(" ",100)),(ROW(INDIRECT("1:"&amp;(LEN(D52)-LEN(SUBSTITUTE(D52,",",""))+1)))-1)*100+1,100)),B52)),"",TRIM(MID(SUBSTITUTE(D52,",",REPT(" ",100)),(ROW(INDIRECT("1:"&amp;(LEN(D52)-LEN(SUBSTITUTE(D52,",",""))+1)))-1)*100+1,100))))</f>
        <v>Tableau, R</v>
      </c>
      <c r="H52" t="str" cm="1">
        <f t="array" ref="H52">_xlfn.IFS(
  E52&lt;21, "0-20",
  E52&lt;41, "21-40",
  E52&lt;61, "41-60",
  E52&lt;81, "61-80",
  TRUE,   "81-100"
)</f>
        <v>41-60</v>
      </c>
    </row>
    <row r="53" spans="1:8">
      <c r="A53" t="s">
        <v>109</v>
      </c>
      <c r="B53" t="s">
        <v>12</v>
      </c>
      <c r="C53" t="s">
        <v>13</v>
      </c>
      <c r="D53" t="s">
        <v>14</v>
      </c>
      <c r="E53" cm="1">
        <f t="array" ref="E53">SUM(--ISNUMBER(SEARCH(_xlfn.TEXTSPLIT(D53,","),B53)))/COUNTA(_xlfn.TEXTSPLIT(D53,","))*100</f>
        <v>33.333333333333329</v>
      </c>
      <c r="F53" t="str" cm="1">
        <f t="array" ref="F53">_xlfn.IFS(E53&lt;35,"Low", E53&lt;=65,"Medium", E53&gt;65,"High")</f>
        <v>Low</v>
      </c>
      <c r="G53" s="1" t="str" cm="1">
        <f t="array" ref="G53" ca="1">_xlfn.TEXTJOIN(", ",TRUE,IF(ISNUMBER(SEARCH(TRIM(MID(SUBSTITUTE(D53,",",REPT(" ",100)),(ROW(INDIRECT("1:"&amp;(LEN(D53)-LEN(SUBSTITUTE(D53,",",""))+1)))-1)*100+1,100)),B53)),"",TRIM(MID(SUBSTITUTE(D53,",",REPT(" ",100)),(ROW(INDIRECT("1:"&amp;(LEN(D53)-LEN(SUBSTITUTE(D53,",",""))+1)))-1)*100+1,100))))</f>
        <v>HTML, CSS, JavaScript</v>
      </c>
      <c r="H53" t="str" cm="1">
        <f t="array" ref="H53">_xlfn.IFS(
  E53&lt;21, "0-20",
  E53&lt;41, "21-40",
  E53&lt;61, "41-60",
  E53&lt;81, "61-80",
  TRUE,   "81-100"
)</f>
        <v>21-40</v>
      </c>
    </row>
    <row r="54" spans="1:8">
      <c r="A54" t="s">
        <v>110</v>
      </c>
      <c r="B54" t="s">
        <v>16</v>
      </c>
      <c r="C54" t="s">
        <v>17</v>
      </c>
      <c r="D54" t="s">
        <v>18</v>
      </c>
      <c r="E54" cm="1">
        <f t="array" ref="E54">SUM(--ISNUMBER(SEARCH(_xlfn.TEXTSPLIT(D54,","),B54)))/COUNTA(_xlfn.TEXTSPLIT(D54,","))*100</f>
        <v>50</v>
      </c>
      <c r="F54" t="str" cm="1">
        <f t="array" ref="F54">_xlfn.IFS(E54&lt;35,"Low", E54&lt;=65,"Medium", E54&gt;65,"High")</f>
        <v>Medium</v>
      </c>
      <c r="G54" s="1" t="str" cm="1">
        <f t="array" ref="G54" ca="1">_xlfn.TEXTJOIN(", ",TRUE,IF(ISNUMBER(SEARCH(TRIM(MID(SUBSTITUTE(D54,",",REPT(" ",100)),(ROW(INDIRECT("1:"&amp;(LEN(D54)-LEN(SUBSTITUTE(D54,",",""))+1)))-1)*100+1,100)),B54)),"",TRIM(MID(SUBSTITUTE(D54,",",REPT(" ",100)),(ROW(INDIRECT("1:"&amp;(LEN(D54)-LEN(SUBSTITUTE(D54,",",""))+1)))-1)*100+1,100))))</f>
        <v>Communication, Excel</v>
      </c>
      <c r="H54" t="str" cm="1">
        <f t="array" ref="H54">_xlfn.IFS(
  E54&lt;21, "0-20",
  E54&lt;41, "21-40",
  E54&lt;61, "41-60",
  E54&lt;81, "61-80",
  TRUE,   "81-100"
)</f>
        <v>41-60</v>
      </c>
    </row>
    <row r="55" spans="1:8">
      <c r="A55" t="s">
        <v>111</v>
      </c>
      <c r="B55" t="s">
        <v>20</v>
      </c>
      <c r="C55" t="s">
        <v>21</v>
      </c>
      <c r="D55" t="s">
        <v>22</v>
      </c>
      <c r="E55" cm="1">
        <f t="array" ref="E55">SUM(--ISNUMBER(SEARCH(_xlfn.TEXTSPLIT(D55,","),B55)))/COUNTA(_xlfn.TEXTSPLIT(D55,","))*100</f>
        <v>60</v>
      </c>
      <c r="F55" t="str" cm="1">
        <f t="array" ref="F55">_xlfn.IFS(E55&lt;35,"Low", E55&lt;=65,"Medium", E55&gt;65,"High")</f>
        <v>Medium</v>
      </c>
      <c r="G55" s="1" t="str" cm="1">
        <f t="array" ref="G55" ca="1">_xlfn.TEXTJOIN(", ",TRUE,IF(ISNUMBER(SEARCH(TRIM(MID(SUBSTITUTE(D55,",",REPT(" ",100)),(ROW(INDIRECT("1:"&amp;(LEN(D55)-LEN(SUBSTITUTE(D55,",",""))+1)))-1)*100+1,100)),B55)),"",TRIM(MID(SUBSTITUTE(D55,",",REPT(" ",100)),(ROW(INDIRECT("1:"&amp;(LEN(D55)-LEN(SUBSTITUTE(D55,",",""))+1)))-1)*100+1,100))))</f>
        <v>Excel, PowerPoint</v>
      </c>
      <c r="H55" t="str" cm="1">
        <f t="array" ref="H55">_xlfn.IFS(
  E55&lt;21, "0-20",
  E55&lt;41, "21-40",
  E55&lt;61, "41-60",
  E55&lt;81, "61-80",
  TRUE,   "81-100"
)</f>
        <v>41-60</v>
      </c>
    </row>
    <row r="56" spans="1:8">
      <c r="A56" t="s">
        <v>112</v>
      </c>
      <c r="B56" t="s">
        <v>24</v>
      </c>
      <c r="C56" t="s">
        <v>25</v>
      </c>
      <c r="D56" t="s">
        <v>26</v>
      </c>
      <c r="E56" cm="1">
        <f t="array" ref="E56">SUM(--ISNUMBER(SEARCH(_xlfn.TEXTSPLIT(D56,","),B56)))/COUNTA(_xlfn.TEXTSPLIT(D56,","))*100</f>
        <v>75</v>
      </c>
      <c r="F56" t="str" cm="1">
        <f t="array" ref="F56">_xlfn.IFS(E56&lt;35,"Low", E56&lt;=65,"Medium", E56&gt;65,"High")</f>
        <v>High</v>
      </c>
      <c r="G56" s="1" t="str" cm="1">
        <f t="array" ref="G56" ca="1">_xlfn.TEXTJOIN(", ",TRUE,IF(ISNUMBER(SEARCH(TRIM(MID(SUBSTITUTE(D56,",",REPT(" ",100)),(ROW(INDIRECT("1:"&amp;(LEN(D56)-LEN(SUBSTITUTE(D56,",",""))+1)))-1)*100+1,100)),B56)),"",TRIM(MID(SUBSTITUTE(D56,",",REPT(" ",100)),(ROW(INDIRECT("1:"&amp;(LEN(D56)-LEN(SUBSTITUTE(D56,",",""))+1)))-1)*100+1,100))))</f>
        <v>Excel</v>
      </c>
      <c r="H56" t="str" cm="1">
        <f t="array" ref="H56">_xlfn.IFS(
  E56&lt;21, "0-20",
  E56&lt;41, "21-40",
  E56&lt;61, "41-60",
  E56&lt;81, "61-80",
  TRUE,   "81-100"
)</f>
        <v>61-80</v>
      </c>
    </row>
    <row r="57" spans="1:8">
      <c r="A57" t="s">
        <v>113</v>
      </c>
      <c r="B57" t="s">
        <v>28</v>
      </c>
      <c r="C57" t="s">
        <v>9</v>
      </c>
      <c r="D57" t="s">
        <v>10</v>
      </c>
      <c r="E57" cm="1">
        <f t="array" ref="E57">SUM(--ISNUMBER(SEARCH(_xlfn.TEXTSPLIT(D57,","),B57)))/COUNTA(_xlfn.TEXTSPLIT(D57,","))*100</f>
        <v>60</v>
      </c>
      <c r="F57" t="str" cm="1">
        <f t="array" ref="F57">_xlfn.IFS(E57&lt;35,"Low", E57&lt;=65,"Medium", E57&gt;65,"High")</f>
        <v>Medium</v>
      </c>
      <c r="G57" s="1" t="str" cm="1">
        <f t="array" ref="G57" ca="1">_xlfn.TEXTJOIN(", ",TRUE,IF(ISNUMBER(SEARCH(TRIM(MID(SUBSTITUTE(D57,",",REPT(" ",100)),(ROW(INDIRECT("1:"&amp;(LEN(D57)-LEN(SUBSTITUTE(D57,",",""))+1)))-1)*100+1,100)),B57)),"",TRIM(MID(SUBSTITUTE(D57,",",REPT(" ",100)),(ROW(INDIRECT("1:"&amp;(LEN(D57)-LEN(SUBSTITUTE(D57,",",""))+1)))-1)*100+1,100))))</f>
        <v>SQL, Tableau</v>
      </c>
      <c r="H57" t="str" cm="1">
        <f t="array" ref="H57">_xlfn.IFS(
  E57&lt;21, "0-20",
  E57&lt;41, "21-40",
  E57&lt;61, "41-60",
  E57&lt;81, "61-80",
  TRUE,   "81-100"
)</f>
        <v>41-60</v>
      </c>
    </row>
    <row r="58" spans="1:8">
      <c r="A58" t="s">
        <v>114</v>
      </c>
      <c r="B58" t="s">
        <v>30</v>
      </c>
      <c r="C58" t="s">
        <v>13</v>
      </c>
      <c r="D58" t="s">
        <v>14</v>
      </c>
      <c r="E58" cm="1">
        <f t="array" ref="E58">SUM(--ISNUMBER(SEARCH(_xlfn.TEXTSPLIT(D58,","),B58)))/COUNTA(_xlfn.TEXTSPLIT(D58,","))*100</f>
        <v>33.333333333333329</v>
      </c>
      <c r="F58" t="str" cm="1">
        <f t="array" ref="F58">_xlfn.IFS(E58&lt;35,"Low", E58&lt;=65,"Medium", E58&gt;65,"High")</f>
        <v>Low</v>
      </c>
      <c r="G58" s="1" t="str" cm="1">
        <f t="array" ref="G58" ca="1">_xlfn.TEXTJOIN(", ",TRUE,IF(ISNUMBER(SEARCH(TRIM(MID(SUBSTITUTE(D58,",",REPT(" ",100)),(ROW(INDIRECT("1:"&amp;(LEN(D58)-LEN(SUBSTITUTE(D58,",",""))+1)))-1)*100+1,100)),B58)),"",TRIM(MID(SUBSTITUTE(D58,",",REPT(" ",100)),(ROW(INDIRECT("1:"&amp;(LEN(D58)-LEN(SUBSTITUTE(D58,",",""))+1)))-1)*100+1,100))))</f>
        <v>Python, C++, JavaScript</v>
      </c>
      <c r="H58" t="str" cm="1">
        <f t="array" ref="H58">_xlfn.IFS(
  E58&lt;21, "0-20",
  E58&lt;41, "21-40",
  E58&lt;61, "41-60",
  E58&lt;81, "61-80",
  TRUE,   "81-100"
)</f>
        <v>21-40</v>
      </c>
    </row>
    <row r="59" spans="1:8">
      <c r="A59" t="s">
        <v>115</v>
      </c>
      <c r="B59" t="s">
        <v>32</v>
      </c>
      <c r="C59" t="s">
        <v>17</v>
      </c>
      <c r="D59" t="s">
        <v>18</v>
      </c>
      <c r="E59" cm="1">
        <f t="array" ref="E59">SUM(--ISNUMBER(SEARCH(_xlfn.TEXTSPLIT(D59,","),B59)))/COUNTA(_xlfn.TEXTSPLIT(D59,","))*100</f>
        <v>25</v>
      </c>
      <c r="F59" t="str" cm="1">
        <f t="array" ref="F59">_xlfn.IFS(E59&lt;35,"Low", E59&lt;=65,"Medium", E59&gt;65,"High")</f>
        <v>Low</v>
      </c>
      <c r="G59" s="1" t="str" cm="1">
        <f t="array" ref="G59" ca="1">_xlfn.TEXTJOIN(", ",TRUE,IF(ISNUMBER(SEARCH(TRIM(MID(SUBSTITUTE(D59,",",REPT(" ",100)),(ROW(INDIRECT("1:"&amp;(LEN(D59)-LEN(SUBSTITUTE(D59,",",""))+1)))-1)*100+1,100)),B59)),"",TRIM(MID(SUBSTITUTE(D59,",",REPT(" ",100)),(ROW(INDIRECT("1:"&amp;(LEN(D59)-LEN(SUBSTITUTE(D59,",",""))+1)))-1)*100+1,100))))</f>
        <v>Project Management, Excel</v>
      </c>
      <c r="H59" t="str" cm="1">
        <f t="array" ref="H59">_xlfn.IFS(
  E59&lt;21, "0-20",
  E59&lt;41, "21-40",
  E59&lt;61, "41-60",
  E59&lt;81, "61-80",
  TRUE,   "81-100"
)</f>
        <v>21-40</v>
      </c>
    </row>
    <row r="60" spans="1:8">
      <c r="A60" t="s">
        <v>116</v>
      </c>
      <c r="B60" t="s">
        <v>34</v>
      </c>
      <c r="C60" t="s">
        <v>21</v>
      </c>
      <c r="D60" t="s">
        <v>22</v>
      </c>
      <c r="E60" cm="1">
        <f t="array" ref="E60">SUM(--ISNUMBER(SEARCH(_xlfn.TEXTSPLIT(D60,","),B60)))/COUNTA(_xlfn.TEXTSPLIT(D60,","))*100</f>
        <v>60</v>
      </c>
      <c r="F60" t="str" cm="1">
        <f t="array" ref="F60">_xlfn.IFS(E60&lt;35,"Low", E60&lt;=65,"Medium", E60&gt;65,"High")</f>
        <v>Medium</v>
      </c>
      <c r="G60" s="1" t="str" cm="1">
        <f t="array" ref="G60" ca="1">_xlfn.TEXTJOIN(", ",TRUE,IF(ISNUMBER(SEARCH(TRIM(MID(SUBSTITUTE(D60,",",REPT(" ",100)),(ROW(INDIRECT("1:"&amp;(LEN(D60)-LEN(SUBSTITUTE(D60,",",""))+1)))-1)*100+1,100)),B60)),"",TRIM(MID(SUBSTITUTE(D60,",",REPT(" ",100)),(ROW(INDIRECT("1:"&amp;(LEN(D60)-LEN(SUBSTITUTE(D60,",",""))+1)))-1)*100+1,100))))</f>
        <v>Communication, Sales</v>
      </c>
      <c r="H60" t="str" cm="1">
        <f t="array" ref="H60">_xlfn.IFS(
  E60&lt;21, "0-20",
  E60&lt;41, "21-40",
  E60&lt;61, "41-60",
  E60&lt;81, "61-80",
  TRUE,   "81-100"
)</f>
        <v>41-60</v>
      </c>
    </row>
    <row r="61" spans="1:8">
      <c r="A61" t="s">
        <v>117</v>
      </c>
      <c r="B61" t="s">
        <v>36</v>
      </c>
      <c r="C61" t="s">
        <v>25</v>
      </c>
      <c r="D61" t="s">
        <v>26</v>
      </c>
      <c r="E61" cm="1">
        <f t="array" ref="E61">SUM(--ISNUMBER(SEARCH(_xlfn.TEXTSPLIT(D61,","),B61)))/COUNTA(_xlfn.TEXTSPLIT(D61,","))*100</f>
        <v>50</v>
      </c>
      <c r="F61" t="str" cm="1">
        <f t="array" ref="F61">_xlfn.IFS(E61&lt;35,"Low", E61&lt;=65,"Medium", E61&gt;65,"High")</f>
        <v>Medium</v>
      </c>
      <c r="G61" s="1" t="str" cm="1">
        <f t="array" ref="G61" ca="1">_xlfn.TEXTJOIN(", ",TRUE,IF(ISNUMBER(SEARCH(TRIM(MID(SUBSTITUTE(D61,",",REPT(" ",100)),(ROW(INDIRECT("1:"&amp;(LEN(D61)-LEN(SUBSTITUTE(D61,",",""))+1)))-1)*100+1,100)),B61)),"",TRIM(MID(SUBSTITUTE(D61,",",REPT(" ",100)),(ROW(INDIRECT("1:"&amp;(LEN(D61)-LEN(SUBSTITUTE(D61,",",""))+1)))-1)*100+1,100))))</f>
        <v>Customer Service, Communication</v>
      </c>
      <c r="H61" t="str" cm="1">
        <f t="array" ref="H61">_xlfn.IFS(
  E61&lt;21, "0-20",
  E61&lt;41, "21-40",
  E61&lt;61, "41-60",
  E61&lt;81, "61-80",
  TRUE,   "81-100"
)</f>
        <v>41-60</v>
      </c>
    </row>
    <row r="62" spans="1:8">
      <c r="A62" t="s">
        <v>118</v>
      </c>
      <c r="B62" t="s">
        <v>38</v>
      </c>
      <c r="C62" t="s">
        <v>9</v>
      </c>
      <c r="D62" t="s">
        <v>10</v>
      </c>
      <c r="E62" cm="1">
        <f t="array" ref="E62">SUM(--ISNUMBER(SEARCH(_xlfn.TEXTSPLIT(D62,","),B62)))/COUNTA(_xlfn.TEXTSPLIT(D62,","))*100</f>
        <v>60</v>
      </c>
      <c r="F62" t="str" cm="1">
        <f t="array" ref="F62">_xlfn.IFS(E62&lt;35,"Low", E62&lt;=65,"Medium", E62&gt;65,"High")</f>
        <v>Medium</v>
      </c>
      <c r="G62" s="1" t="str" cm="1">
        <f t="array" ref="G62" ca="1">_xlfn.TEXTJOIN(", ",TRUE,IF(ISNUMBER(SEARCH(TRIM(MID(SUBSTITUTE(D62,",",REPT(" ",100)),(ROW(INDIRECT("1:"&amp;(LEN(D62)-LEN(SUBSTITUTE(D62,",",""))+1)))-1)*100+1,100)),B62)),"",TRIM(MID(SUBSTITUTE(D62,",",REPT(" ",100)),(ROW(INDIRECT("1:"&amp;(LEN(D62)-LEN(SUBSTITUTE(D62,",",""))+1)))-1)*100+1,100))))</f>
        <v>Excel, R</v>
      </c>
      <c r="H62" t="str" cm="1">
        <f t="array" ref="H62">_xlfn.IFS(
  E62&lt;21, "0-20",
  E62&lt;41, "21-40",
  E62&lt;61, "41-60",
  E62&lt;81, "61-80",
  TRUE,   "81-100"
)</f>
        <v>41-60</v>
      </c>
    </row>
    <row r="63" spans="1:8">
      <c r="A63" t="s">
        <v>119</v>
      </c>
      <c r="B63" t="s">
        <v>40</v>
      </c>
      <c r="C63" t="s">
        <v>13</v>
      </c>
      <c r="D63" t="s">
        <v>14</v>
      </c>
      <c r="E63" cm="1">
        <f t="array" ref="E63">SUM(--ISNUMBER(SEARCH(_xlfn.TEXTSPLIT(D63,","),B63)))/COUNTA(_xlfn.TEXTSPLIT(D63,","))*100</f>
        <v>16.666666666666664</v>
      </c>
      <c r="F63" t="str" cm="1">
        <f t="array" ref="F63">_xlfn.IFS(E63&lt;35,"Low", E63&lt;=65,"Medium", E63&gt;65,"High")</f>
        <v>Low</v>
      </c>
      <c r="G63" s="1" t="str" cm="1">
        <f t="array" ref="G63" ca="1">_xlfn.TEXTJOIN(", ",TRUE,IF(ISNUMBER(SEARCH(TRIM(MID(SUBSTITUTE(D63,",",REPT(" ",100)),(ROW(INDIRECT("1:"&amp;(LEN(D63)-LEN(SUBSTITUTE(D63,",",""))+1)))-1)*100+1,100)),B63)),"",TRIM(MID(SUBSTITUTE(D63,",",REPT(" ",100)),(ROW(INDIRECT("1:"&amp;(LEN(D63)-LEN(SUBSTITUTE(D63,",",""))+1)))-1)*100+1,100))))</f>
        <v>Python, HTML, CSS, JavaScript</v>
      </c>
      <c r="H63" t="str" cm="1">
        <f t="array" ref="H63">_xlfn.IFS(
  E63&lt;21, "0-20",
  E63&lt;41, "21-40",
  E63&lt;61, "41-60",
  E63&lt;81, "61-80",
  TRUE,   "81-100"
)</f>
        <v>0-20</v>
      </c>
    </row>
    <row r="64" spans="1:8">
      <c r="A64" t="s">
        <v>120</v>
      </c>
      <c r="B64" t="s">
        <v>42</v>
      </c>
      <c r="C64" t="s">
        <v>17</v>
      </c>
      <c r="D64" t="s">
        <v>18</v>
      </c>
      <c r="E64" cm="1">
        <f t="array" ref="E64">SUM(--ISNUMBER(SEARCH(_xlfn.TEXTSPLIT(D64,","),B64)))/COUNTA(_xlfn.TEXTSPLIT(D64,","))*100</f>
        <v>75</v>
      </c>
      <c r="F64" t="str" cm="1">
        <f t="array" ref="F64">_xlfn.IFS(E64&lt;35,"Low", E64&lt;=65,"Medium", E64&gt;65,"High")</f>
        <v>High</v>
      </c>
      <c r="G64" s="1" t="str" cm="1">
        <f t="array" ref="G64" ca="1">_xlfn.TEXTJOIN(", ",TRUE,IF(ISNUMBER(SEARCH(TRIM(MID(SUBSTITUTE(D64,",",REPT(" ",100)),(ROW(INDIRECT("1:"&amp;(LEN(D64)-LEN(SUBSTITUTE(D64,",",""))+1)))-1)*100+1,100)),B64)),"",TRIM(MID(SUBSTITUTE(D64,",",REPT(" ",100)),(ROW(INDIRECT("1:"&amp;(LEN(D64)-LEN(SUBSTITUTE(D64,",",""))+1)))-1)*100+1,100))))</f>
        <v>Leadership</v>
      </c>
      <c r="H64" t="str" cm="1">
        <f t="array" ref="H64">_xlfn.IFS(
  E64&lt;21, "0-20",
  E64&lt;41, "21-40",
  E64&lt;61, "41-60",
  E64&lt;81, "61-80",
  TRUE,   "81-100"
)</f>
        <v>61-80</v>
      </c>
    </row>
    <row r="65" spans="1:8">
      <c r="A65" t="s">
        <v>66</v>
      </c>
      <c r="B65" t="s">
        <v>44</v>
      </c>
      <c r="C65" t="s">
        <v>21</v>
      </c>
      <c r="D65" t="s">
        <v>22</v>
      </c>
      <c r="E65" cm="1">
        <f t="array" ref="E65">SUM(--ISNUMBER(SEARCH(_xlfn.TEXTSPLIT(D65,","),B65)))/COUNTA(_xlfn.TEXTSPLIT(D65,","))*100</f>
        <v>60</v>
      </c>
      <c r="F65" t="str" cm="1">
        <f t="array" ref="F65">_xlfn.IFS(E65&lt;35,"Low", E65&lt;=65,"Medium", E65&gt;65,"High")</f>
        <v>Medium</v>
      </c>
      <c r="G65" s="1" t="str" cm="1">
        <f t="array" ref="G65" ca="1">_xlfn.TEXTJOIN(", ",TRUE,IF(ISNUMBER(SEARCH(TRIM(MID(SUBSTITUTE(D65,",",REPT(" ",100)),(ROW(INDIRECT("1:"&amp;(LEN(D65)-LEN(SUBSTITUTE(D65,",",""))+1)))-1)*100+1,100)),B65)),"",TRIM(MID(SUBSTITUTE(D65,",",REPT(" ",100)),(ROW(INDIRECT("1:"&amp;(LEN(D65)-LEN(SUBSTITUTE(D65,",",""))+1)))-1)*100+1,100))))</f>
        <v>Excel, PowerPoint</v>
      </c>
      <c r="H65" t="str" cm="1">
        <f t="array" ref="H65">_xlfn.IFS(
  E65&lt;21, "0-20",
  E65&lt;41, "21-40",
  E65&lt;61, "41-60",
  E65&lt;81, "61-80",
  TRUE,   "81-100"
)</f>
        <v>41-60</v>
      </c>
    </row>
    <row r="66" spans="1:8">
      <c r="A66" t="s">
        <v>121</v>
      </c>
      <c r="B66" t="s">
        <v>46</v>
      </c>
      <c r="C66" t="s">
        <v>25</v>
      </c>
      <c r="D66" t="s">
        <v>26</v>
      </c>
      <c r="E66" cm="1">
        <f t="array" ref="E66">SUM(--ISNUMBER(SEARCH(_xlfn.TEXTSPLIT(D66,","),B66)))/COUNTA(_xlfn.TEXTSPLIT(D66,","))*100</f>
        <v>75</v>
      </c>
      <c r="F66" t="str" cm="1">
        <f t="array" ref="F66">_xlfn.IFS(E66&lt;35,"Low", E66&lt;=65,"Medium", E66&gt;65,"High")</f>
        <v>High</v>
      </c>
      <c r="G66" s="1" t="str" cm="1">
        <f t="array" ref="G66" ca="1">_xlfn.TEXTJOIN(", ",TRUE,IF(ISNUMBER(SEARCH(TRIM(MID(SUBSTITUTE(D66,",",REPT(" ",100)),(ROW(INDIRECT("1:"&amp;(LEN(D66)-LEN(SUBSTITUTE(D66,",",""))+1)))-1)*100+1,100)),B66)),"",TRIM(MID(SUBSTITUTE(D66,",",REPT(" ",100)),(ROW(INDIRECT("1:"&amp;(LEN(D66)-LEN(SUBSTITUTE(D66,",",""))+1)))-1)*100+1,100))))</f>
        <v>Communication</v>
      </c>
      <c r="H66" t="str" cm="1">
        <f t="array" ref="H66">_xlfn.IFS(
  E66&lt;21, "0-20",
  E66&lt;41, "21-40",
  E66&lt;61, "41-60",
  E66&lt;81, "61-80",
  TRUE,   "81-100"
)</f>
        <v>61-80</v>
      </c>
    </row>
    <row r="67" spans="1:8">
      <c r="A67" t="s">
        <v>122</v>
      </c>
      <c r="B67" t="s">
        <v>48</v>
      </c>
      <c r="C67" t="s">
        <v>9</v>
      </c>
      <c r="D67" t="s">
        <v>10</v>
      </c>
      <c r="E67" cm="1">
        <f t="array" ref="E67">SUM(--ISNUMBER(SEARCH(_xlfn.TEXTSPLIT(D67,","),B67)))/COUNTA(_xlfn.TEXTSPLIT(D67,","))*100</f>
        <v>60</v>
      </c>
      <c r="F67" t="str" cm="1">
        <f t="array" ref="F67">_xlfn.IFS(E67&lt;35,"Low", E67&lt;=65,"Medium", E67&gt;65,"High")</f>
        <v>Medium</v>
      </c>
      <c r="G67" s="1" t="str" cm="1">
        <f t="array" ref="G67" ca="1">_xlfn.TEXTJOIN(", ",TRUE,IF(ISNUMBER(SEARCH(TRIM(MID(SUBSTITUTE(D67,",",REPT(" ",100)),(ROW(INDIRECT("1:"&amp;(LEN(D67)-LEN(SUBSTITUTE(D67,",",""))+1)))-1)*100+1,100)),B67)),"",TRIM(MID(SUBSTITUTE(D67,",",REPT(" ",100)),(ROW(INDIRECT("1:"&amp;(LEN(D67)-LEN(SUBSTITUTE(D67,",",""))+1)))-1)*100+1,100))))</f>
        <v>Excel, Tableau</v>
      </c>
      <c r="H67" t="str" cm="1">
        <f t="array" ref="H67">_xlfn.IFS(
  E67&lt;21, "0-20",
  E67&lt;41, "21-40",
  E67&lt;61, "41-60",
  E67&lt;81, "61-80",
  TRUE,   "81-100"
)</f>
        <v>41-60</v>
      </c>
    </row>
    <row r="68" spans="1:8">
      <c r="A68" t="s">
        <v>123</v>
      </c>
      <c r="B68" t="s">
        <v>50</v>
      </c>
      <c r="C68" t="s">
        <v>13</v>
      </c>
      <c r="D68" t="s">
        <v>14</v>
      </c>
      <c r="E68" cm="1">
        <f t="array" ref="E68">SUM(--ISNUMBER(SEARCH(_xlfn.TEXTSPLIT(D68,","),B68)))/COUNTA(_xlfn.TEXTSPLIT(D68,","))*100</f>
        <v>50</v>
      </c>
      <c r="F68" t="str" cm="1">
        <f t="array" ref="F68">_xlfn.IFS(E68&lt;35,"Low", E68&lt;=65,"Medium", E68&gt;65,"High")</f>
        <v>Medium</v>
      </c>
      <c r="G68" s="1" t="str" cm="1">
        <f t="array" ref="G68" ca="1">_xlfn.TEXTJOIN(", ",TRUE,IF(ISNUMBER(SEARCH(TRIM(MID(SUBSTITUTE(D68,",",REPT(" ",100)),(ROW(INDIRECT("1:"&amp;(LEN(D68)-LEN(SUBSTITUTE(D68,",",""))+1)))-1)*100+1,100)),B68)),"",TRIM(MID(SUBSTITUTE(D68,",",REPT(" ",100)),(ROW(INDIRECT("1:"&amp;(LEN(D68)-LEN(SUBSTITUTE(D68,",",""))+1)))-1)*100+1,100))))</f>
        <v>Python, C++, HTML</v>
      </c>
      <c r="H68" t="str" cm="1">
        <f t="array" ref="H68">_xlfn.IFS(
  E68&lt;21, "0-20",
  E68&lt;41, "21-40",
  E68&lt;61, "41-60",
  E68&lt;81, "61-80",
  TRUE,   "81-100"
)</f>
        <v>41-60</v>
      </c>
    </row>
    <row r="69" spans="1:8">
      <c r="A69" t="s">
        <v>124</v>
      </c>
      <c r="B69" t="s">
        <v>52</v>
      </c>
      <c r="C69" t="s">
        <v>17</v>
      </c>
      <c r="D69" t="s">
        <v>18</v>
      </c>
      <c r="E69" cm="1">
        <f t="array" ref="E69">SUM(--ISNUMBER(SEARCH(_xlfn.TEXTSPLIT(D69,","),B69)))/COUNTA(_xlfn.TEXTSPLIT(D69,","))*100</f>
        <v>25</v>
      </c>
      <c r="F69" t="str" cm="1">
        <f t="array" ref="F69">_xlfn.IFS(E69&lt;35,"Low", E69&lt;=65,"Medium", E69&gt;65,"High")</f>
        <v>Low</v>
      </c>
      <c r="G69" s="1" t="str" cm="1">
        <f t="array" ref="G69" ca="1">_xlfn.TEXTJOIN(", ",TRUE,IF(ISNUMBER(SEARCH(TRIM(MID(SUBSTITUTE(D69,",",REPT(" ",100)),(ROW(INDIRECT("1:"&amp;(LEN(D69)-LEN(SUBSTITUTE(D69,",",""))+1)))-1)*100+1,100)),B69)),"",TRIM(MID(SUBSTITUTE(D69,",",REPT(" ",100)),(ROW(INDIRECT("1:"&amp;(LEN(D69)-LEN(SUBSTITUTE(D69,",",""))+1)))-1)*100+1,100))))</f>
        <v>Communication, Excel</v>
      </c>
      <c r="H69" t="str" cm="1">
        <f t="array" ref="H69">_xlfn.IFS(
  E69&lt;21, "0-20",
  E69&lt;41, "21-40",
  E69&lt;61, "41-60",
  E69&lt;81, "61-80",
  TRUE,   "81-100"
)</f>
        <v>21-40</v>
      </c>
    </row>
    <row r="70" spans="1:8">
      <c r="A70" t="s">
        <v>125</v>
      </c>
      <c r="B70" t="s">
        <v>54</v>
      </c>
      <c r="C70" t="s">
        <v>21</v>
      </c>
      <c r="D70" t="s">
        <v>22</v>
      </c>
      <c r="E70" cm="1">
        <f t="array" ref="E70">SUM(--ISNUMBER(SEARCH(_xlfn.TEXTSPLIT(D70,","),B70)))/COUNTA(_xlfn.TEXTSPLIT(D70,","))*100</f>
        <v>60</v>
      </c>
      <c r="F70" t="str" cm="1">
        <f t="array" ref="F70">_xlfn.IFS(E70&lt;35,"Low", E70&lt;=65,"Medium", E70&gt;65,"High")</f>
        <v>Medium</v>
      </c>
      <c r="G70" s="1" t="str" cm="1">
        <f t="array" ref="G70" ca="1">_xlfn.TEXTJOIN(", ",TRUE,IF(ISNUMBER(SEARCH(TRIM(MID(SUBSTITUTE(D70,",",REPT(" ",100)),(ROW(INDIRECT("1:"&amp;(LEN(D70)-LEN(SUBSTITUTE(D70,",",""))+1)))-1)*100+1,100)),B70)),"",TRIM(MID(SUBSTITUTE(D70,",",REPT(" ",100)),(ROW(INDIRECT("1:"&amp;(LEN(D70)-LEN(SUBSTITUTE(D70,",",""))+1)))-1)*100+1,100))))</f>
        <v>Sales, Excel</v>
      </c>
      <c r="H70" t="str" cm="1">
        <f t="array" ref="H70">_xlfn.IFS(
  E70&lt;21, "0-20",
  E70&lt;41, "21-40",
  E70&lt;61, "41-60",
  E70&lt;81, "61-80",
  TRUE,   "81-100"
)</f>
        <v>41-60</v>
      </c>
    </row>
    <row r="71" spans="1:8">
      <c r="A71" t="s">
        <v>126</v>
      </c>
      <c r="B71" t="s">
        <v>56</v>
      </c>
      <c r="C71" t="s">
        <v>25</v>
      </c>
      <c r="D71" t="s">
        <v>26</v>
      </c>
      <c r="E71" cm="1">
        <f t="array" ref="E71">SUM(--ISNUMBER(SEARCH(_xlfn.TEXTSPLIT(D71,","),B71)))/COUNTA(_xlfn.TEXTSPLIT(D71,","))*100</f>
        <v>75</v>
      </c>
      <c r="F71" t="str" cm="1">
        <f t="array" ref="F71">_xlfn.IFS(E71&lt;35,"Low", E71&lt;=65,"Medium", E71&gt;65,"High")</f>
        <v>High</v>
      </c>
      <c r="G71" s="1" t="str" cm="1">
        <f t="array" ref="G71" ca="1">_xlfn.TEXTJOIN(", ",TRUE,IF(ISNUMBER(SEARCH(TRIM(MID(SUBSTITUTE(D71,",",REPT(" ",100)),(ROW(INDIRECT("1:"&amp;(LEN(D71)-LEN(SUBSTITUTE(D71,",",""))+1)))-1)*100+1,100)),B71)),"",TRIM(MID(SUBSTITUTE(D71,",",REPT(" ",100)),(ROW(INDIRECT("1:"&amp;(LEN(D71)-LEN(SUBSTITUTE(D71,",",""))+1)))-1)*100+1,100))))</f>
        <v>Customer Service</v>
      </c>
      <c r="H71" t="str" cm="1">
        <f t="array" ref="H71">_xlfn.IFS(
  E71&lt;21, "0-20",
  E71&lt;41, "21-40",
  E71&lt;61, "41-60",
  E71&lt;81, "61-80",
  TRUE,   "81-100"
)</f>
        <v>61-80</v>
      </c>
    </row>
    <row r="72" spans="1:8">
      <c r="A72" t="s">
        <v>127</v>
      </c>
      <c r="B72" t="s">
        <v>58</v>
      </c>
      <c r="C72" t="s">
        <v>9</v>
      </c>
      <c r="D72" t="s">
        <v>10</v>
      </c>
      <c r="E72" cm="1">
        <f t="array" ref="E72">SUM(--ISNUMBER(SEARCH(_xlfn.TEXTSPLIT(D72,","),B72)))/COUNTA(_xlfn.TEXTSPLIT(D72,","))*100</f>
        <v>80</v>
      </c>
      <c r="F72" t="str" cm="1">
        <f t="array" ref="F72">_xlfn.IFS(E72&lt;35,"Low", E72&lt;=65,"Medium", E72&gt;65,"High")</f>
        <v>High</v>
      </c>
      <c r="G72" s="1" t="str" cm="1">
        <f t="array" ref="G72" ca="1">_xlfn.TEXTJOIN(", ",TRUE,IF(ISNUMBER(SEARCH(TRIM(MID(SUBSTITUTE(D72,",",REPT(" ",100)),(ROW(INDIRECT("1:"&amp;(LEN(D72)-LEN(SUBSTITUTE(D72,",",""))+1)))-1)*100+1,100)),B72)),"",TRIM(MID(SUBSTITUTE(D72,",",REPT(" ",100)),(ROW(INDIRECT("1:"&amp;(LEN(D72)-LEN(SUBSTITUTE(D72,",",""))+1)))-1)*100+1,100))))</f>
        <v>R</v>
      </c>
      <c r="H72" t="str" cm="1">
        <f t="array" ref="H72">_xlfn.IFS(
  E72&lt;21, "0-20",
  E72&lt;41, "21-40",
  E72&lt;61, "41-60",
  E72&lt;81, "61-80",
  TRUE,   "81-100"
)</f>
        <v>61-80</v>
      </c>
    </row>
    <row r="73" spans="1:8">
      <c r="A73" t="s">
        <v>128</v>
      </c>
      <c r="B73" t="s">
        <v>60</v>
      </c>
      <c r="C73" t="s">
        <v>13</v>
      </c>
      <c r="D73" t="s">
        <v>14</v>
      </c>
      <c r="E73" cm="1">
        <f t="array" ref="E73">SUM(--ISNUMBER(SEARCH(_xlfn.TEXTSPLIT(D73,","),B73)))/COUNTA(_xlfn.TEXTSPLIT(D73,","))*100</f>
        <v>33.333333333333329</v>
      </c>
      <c r="F73" t="str" cm="1">
        <f t="array" ref="F73">_xlfn.IFS(E73&lt;35,"Low", E73&lt;=65,"Medium", E73&gt;65,"High")</f>
        <v>Low</v>
      </c>
      <c r="G73" s="1" t="str" cm="1">
        <f t="array" ref="G73" ca="1">_xlfn.TEXTJOIN(", ",TRUE,IF(ISNUMBER(SEARCH(TRIM(MID(SUBSTITUTE(D73,",",REPT(" ",100)),(ROW(INDIRECT("1:"&amp;(LEN(D73)-LEN(SUBSTITUTE(D73,",",""))+1)))-1)*100+1,100)),B73)),"",TRIM(MID(SUBSTITUTE(D73,",",REPT(" ",100)),(ROW(INDIRECT("1:"&amp;(LEN(D73)-LEN(SUBSTITUTE(D73,",",""))+1)))-1)*100+1,100))))</f>
        <v>Python, CSS, JavaScript</v>
      </c>
      <c r="H73" t="str" cm="1">
        <f t="array" ref="H73">_xlfn.IFS(
  E73&lt;21, "0-20",
  E73&lt;41, "21-40",
  E73&lt;61, "41-60",
  E73&lt;81, "61-80",
  TRUE,   "81-100"
)</f>
        <v>21-40</v>
      </c>
    </row>
    <row r="74" spans="1:8">
      <c r="A74" t="s">
        <v>129</v>
      </c>
      <c r="B74" t="s">
        <v>62</v>
      </c>
      <c r="C74" t="s">
        <v>17</v>
      </c>
      <c r="D74" t="s">
        <v>18</v>
      </c>
      <c r="E74" cm="1">
        <f t="array" ref="E74">SUM(--ISNUMBER(SEARCH(_xlfn.TEXTSPLIT(D74,","),B74)))/COUNTA(_xlfn.TEXTSPLIT(D74,","))*100</f>
        <v>75</v>
      </c>
      <c r="F74" t="str" cm="1">
        <f t="array" ref="F74">_xlfn.IFS(E74&lt;35,"Low", E74&lt;=65,"Medium", E74&gt;65,"High")</f>
        <v>High</v>
      </c>
      <c r="G74" s="1" t="str" cm="1">
        <f t="array" ref="G74" ca="1">_xlfn.TEXTJOIN(", ",TRUE,IF(ISNUMBER(SEARCH(TRIM(MID(SUBSTITUTE(D74,",",REPT(" ",100)),(ROW(INDIRECT("1:"&amp;(LEN(D74)-LEN(SUBSTITUTE(D74,",",""))+1)))-1)*100+1,100)),B74)),"",TRIM(MID(SUBSTITUTE(D74,",",REPT(" ",100)),(ROW(INDIRECT("1:"&amp;(LEN(D74)-LEN(SUBSTITUTE(D74,",",""))+1)))-1)*100+1,100))))</f>
        <v>Excel</v>
      </c>
      <c r="H74" t="str" cm="1">
        <f t="array" ref="H74">_xlfn.IFS(
  E74&lt;21, "0-20",
  E74&lt;41, "21-40",
  E74&lt;61, "41-60",
  E74&lt;81, "61-80",
  TRUE,   "81-100"
)</f>
        <v>61-80</v>
      </c>
    </row>
    <row r="75" spans="1:8">
      <c r="A75" t="s">
        <v>130</v>
      </c>
      <c r="B75" t="s">
        <v>64</v>
      </c>
      <c r="C75" t="s">
        <v>21</v>
      </c>
      <c r="D75" t="s">
        <v>22</v>
      </c>
      <c r="E75" cm="1">
        <f t="array" ref="E75">SUM(--ISNUMBER(SEARCH(_xlfn.TEXTSPLIT(D75,","),B75)))/COUNTA(_xlfn.TEXTSPLIT(D75,","))*100</f>
        <v>60</v>
      </c>
      <c r="F75" t="str" cm="1">
        <f t="array" ref="F75">_xlfn.IFS(E75&lt;35,"Low", E75&lt;=65,"Medium", E75&gt;65,"High")</f>
        <v>Medium</v>
      </c>
      <c r="G75" s="1" t="str" cm="1">
        <f t="array" ref="G75" ca="1">_xlfn.TEXTJOIN(", ",TRUE,IF(ISNUMBER(SEARCH(TRIM(MID(SUBSTITUTE(D75,",",REPT(" ",100)),(ROW(INDIRECT("1:"&amp;(LEN(D75)-LEN(SUBSTITUTE(D75,",",""))+1)))-1)*100+1,100)),B75)),"",TRIM(MID(SUBSTITUTE(D75,",",REPT(" ",100)),(ROW(INDIRECT("1:"&amp;(LEN(D75)-LEN(SUBSTITUTE(D75,",",""))+1)))-1)*100+1,100))))</f>
        <v>Communication, Excel</v>
      </c>
      <c r="H75" t="str" cm="1">
        <f t="array" ref="H75">_xlfn.IFS(
  E75&lt;21, "0-20",
  E75&lt;41, "21-40",
  E75&lt;61, "41-60",
  E75&lt;81, "61-80",
  TRUE,   "81-100"
)</f>
        <v>41-60</v>
      </c>
    </row>
    <row r="76" spans="1:8">
      <c r="A76" t="s">
        <v>87</v>
      </c>
      <c r="B76" t="s">
        <v>24</v>
      </c>
      <c r="C76" t="s">
        <v>25</v>
      </c>
      <c r="D76" t="s">
        <v>26</v>
      </c>
      <c r="E76" cm="1">
        <f t="array" ref="E76">SUM(--ISNUMBER(SEARCH(_xlfn.TEXTSPLIT(D76,","),B76)))/COUNTA(_xlfn.TEXTSPLIT(D76,","))*100</f>
        <v>75</v>
      </c>
      <c r="F76" t="str" cm="1">
        <f t="array" ref="F76">_xlfn.IFS(E76&lt;35,"Low", E76&lt;=65,"Medium", E76&gt;65,"High")</f>
        <v>High</v>
      </c>
      <c r="G76" s="1" t="str" cm="1">
        <f t="array" ref="G76" ca="1">_xlfn.TEXTJOIN(", ",TRUE,IF(ISNUMBER(SEARCH(TRIM(MID(SUBSTITUTE(D76,",",REPT(" ",100)),(ROW(INDIRECT("1:"&amp;(LEN(D76)-LEN(SUBSTITUTE(D76,",",""))+1)))-1)*100+1,100)),B76)),"",TRIM(MID(SUBSTITUTE(D76,",",REPT(" ",100)),(ROW(INDIRECT("1:"&amp;(LEN(D76)-LEN(SUBSTITUTE(D76,",",""))+1)))-1)*100+1,100))))</f>
        <v>Excel</v>
      </c>
      <c r="H76" t="str" cm="1">
        <f t="array" ref="H76">_xlfn.IFS(
  E76&lt;21, "0-20",
  E76&lt;41, "21-40",
  E76&lt;61, "41-60",
  E76&lt;81, "61-80",
  TRUE,   "81-100"
)</f>
        <v>61-80</v>
      </c>
    </row>
    <row r="77" spans="1:8">
      <c r="A77" t="s">
        <v>131</v>
      </c>
      <c r="B77" t="s">
        <v>67</v>
      </c>
      <c r="C77" t="s">
        <v>9</v>
      </c>
      <c r="D77" t="s">
        <v>10</v>
      </c>
      <c r="E77" cm="1">
        <f t="array" ref="E77">SUM(--ISNUMBER(SEARCH(_xlfn.TEXTSPLIT(D77,","),B77)))/COUNTA(_xlfn.TEXTSPLIT(D77,","))*100</f>
        <v>60</v>
      </c>
      <c r="F77" t="str" cm="1">
        <f t="array" ref="F77">_xlfn.IFS(E77&lt;35,"Low", E77&lt;=65,"Medium", E77&gt;65,"High")</f>
        <v>Medium</v>
      </c>
      <c r="G77" s="1" t="str" cm="1">
        <f t="array" ref="G77" ca="1">_xlfn.TEXTJOIN(", ",TRUE,IF(ISNUMBER(SEARCH(TRIM(MID(SUBSTITUTE(D77,",",REPT(" ",100)),(ROW(INDIRECT("1:"&amp;(LEN(D77)-LEN(SUBSTITUTE(D77,",",""))+1)))-1)*100+1,100)),B77)),"",TRIM(MID(SUBSTITUTE(D77,",",REPT(" ",100)),(ROW(INDIRECT("1:"&amp;(LEN(D77)-LEN(SUBSTITUTE(D77,",",""))+1)))-1)*100+1,100))))</f>
        <v>SQL, Excel</v>
      </c>
      <c r="H77" t="str" cm="1">
        <f t="array" ref="H77">_xlfn.IFS(
  E77&lt;21, "0-20",
  E77&lt;41, "21-40",
  E77&lt;61, "41-60",
  E77&lt;81, "61-80",
  TRUE,   "81-100"
)</f>
        <v>41-60</v>
      </c>
    </row>
    <row r="78" spans="1:8">
      <c r="A78" t="s">
        <v>132</v>
      </c>
      <c r="B78" t="s">
        <v>69</v>
      </c>
      <c r="C78" t="s">
        <v>13</v>
      </c>
      <c r="D78" t="s">
        <v>14</v>
      </c>
      <c r="E78" cm="1">
        <f t="array" ref="E78">SUM(--ISNUMBER(SEARCH(_xlfn.TEXTSPLIT(D78,","),B78)))/COUNTA(_xlfn.TEXTSPLIT(D78,","))*100</f>
        <v>50</v>
      </c>
      <c r="F78" t="str" cm="1">
        <f t="array" ref="F78">_xlfn.IFS(E78&lt;35,"Low", E78&lt;=65,"Medium", E78&gt;65,"High")</f>
        <v>Medium</v>
      </c>
      <c r="G78" s="1" t="str" cm="1">
        <f t="array" ref="G78" ca="1">_xlfn.TEXTJOIN(", ",TRUE,IF(ISNUMBER(SEARCH(TRIM(MID(SUBSTITUTE(D78,",",REPT(" ",100)),(ROW(INDIRECT("1:"&amp;(LEN(D78)-LEN(SUBSTITUTE(D78,",",""))+1)))-1)*100+1,100)),B78)),"",TRIM(MID(SUBSTITUTE(D78,",",REPT(" ",100)),(ROW(INDIRECT("1:"&amp;(LEN(D78)-LEN(SUBSTITUTE(D78,",",""))+1)))-1)*100+1,100))))</f>
        <v>Python, C++, HTML</v>
      </c>
      <c r="H78" t="str" cm="1">
        <f t="array" ref="H78">_xlfn.IFS(
  E78&lt;21, "0-20",
  E78&lt;41, "21-40",
  E78&lt;61, "41-60",
  E78&lt;81, "61-80",
  TRUE,   "81-100"
)</f>
        <v>41-60</v>
      </c>
    </row>
    <row r="79" spans="1:8">
      <c r="A79" t="s">
        <v>133</v>
      </c>
      <c r="B79" t="s">
        <v>71</v>
      </c>
      <c r="C79" t="s">
        <v>17</v>
      </c>
      <c r="D79" t="s">
        <v>18</v>
      </c>
      <c r="E79" cm="1">
        <f t="array" ref="E79">SUM(--ISNUMBER(SEARCH(_xlfn.TEXTSPLIT(D79,","),B79)))/COUNTA(_xlfn.TEXTSPLIT(D79,","))*100</f>
        <v>50</v>
      </c>
      <c r="F79" t="str" cm="1">
        <f t="array" ref="F79">_xlfn.IFS(E79&lt;35,"Low", E79&lt;=65,"Medium", E79&gt;65,"High")</f>
        <v>Medium</v>
      </c>
      <c r="G79" s="1" t="str" cm="1">
        <f t="array" ref="G79" ca="1">_xlfn.TEXTJOIN(", ",TRUE,IF(ISNUMBER(SEARCH(TRIM(MID(SUBSTITUTE(D79,",",REPT(" ",100)),(ROW(INDIRECT("1:"&amp;(LEN(D79)-LEN(SUBSTITUTE(D79,",",""))+1)))-1)*100+1,100)),B79)),"",TRIM(MID(SUBSTITUTE(D79,",",REPT(" ",100)),(ROW(INDIRECT("1:"&amp;(LEN(D79)-LEN(SUBSTITUTE(D79,",",""))+1)))-1)*100+1,100))))</f>
        <v>Project Management</v>
      </c>
      <c r="H79" t="str" cm="1">
        <f t="array" ref="H79">_xlfn.IFS(
  E79&lt;21, "0-20",
  E79&lt;41, "21-40",
  E79&lt;61, "41-60",
  E79&lt;81, "61-80",
  TRUE,   "81-100"
)</f>
        <v>41-60</v>
      </c>
    </row>
    <row r="80" spans="1:8">
      <c r="A80" t="s">
        <v>134</v>
      </c>
      <c r="B80" t="s">
        <v>73</v>
      </c>
      <c r="C80" t="s">
        <v>21</v>
      </c>
      <c r="D80" t="s">
        <v>22</v>
      </c>
      <c r="E80" cm="1">
        <f t="array" ref="E80">SUM(--ISNUMBER(SEARCH(_xlfn.TEXTSPLIT(D80,","),B80)))/COUNTA(_xlfn.TEXTSPLIT(D80,","))*100</f>
        <v>60</v>
      </c>
      <c r="F80" t="str" cm="1">
        <f t="array" ref="F80">_xlfn.IFS(E80&lt;35,"Low", E80&lt;=65,"Medium", E80&gt;65,"High")</f>
        <v>Medium</v>
      </c>
      <c r="G80" s="1" t="str" cm="1">
        <f t="array" ref="G80" ca="1">_xlfn.TEXTJOIN(", ",TRUE,IF(ISNUMBER(SEARCH(TRIM(MID(SUBSTITUTE(D80,",",REPT(" ",100)),(ROW(INDIRECT("1:"&amp;(LEN(D80)-LEN(SUBSTITUTE(D80,",",""))+1)))-1)*100+1,100)),B80)),"",TRIM(MID(SUBSTITUTE(D80,",",REPT(" ",100)),(ROW(INDIRECT("1:"&amp;(LEN(D80)-LEN(SUBSTITUTE(D80,",",""))+1)))-1)*100+1,100))))</f>
        <v>Communication, Sales</v>
      </c>
      <c r="H80" t="str" cm="1">
        <f t="array" ref="H80">_xlfn.IFS(
  E80&lt;21, "0-20",
  E80&lt;41, "21-40",
  E80&lt;61, "41-60",
  E80&lt;81, "61-80",
  TRUE,   "81-100"
)</f>
        <v>41-60</v>
      </c>
    </row>
    <row r="81" spans="1:8">
      <c r="A81" t="s">
        <v>135</v>
      </c>
      <c r="B81" t="s">
        <v>75</v>
      </c>
      <c r="C81" t="s">
        <v>25</v>
      </c>
      <c r="D81" t="s">
        <v>26</v>
      </c>
      <c r="E81" cm="1">
        <f t="array" ref="E81">SUM(--ISNUMBER(SEARCH(_xlfn.TEXTSPLIT(D81,","),B81)))/COUNTA(_xlfn.TEXTSPLIT(D81,","))*100</f>
        <v>75</v>
      </c>
      <c r="F81" t="str" cm="1">
        <f t="array" ref="F81">_xlfn.IFS(E81&lt;35,"Low", E81&lt;=65,"Medium", E81&gt;65,"High")</f>
        <v>High</v>
      </c>
      <c r="G81" s="1" t="str" cm="1">
        <f t="array" ref="G81" ca="1">_xlfn.TEXTJOIN(", ",TRUE,IF(ISNUMBER(SEARCH(TRIM(MID(SUBSTITUTE(D81,",",REPT(" ",100)),(ROW(INDIRECT("1:"&amp;(LEN(D81)-LEN(SUBSTITUTE(D81,",",""))+1)))-1)*100+1,100)),B81)),"",TRIM(MID(SUBSTITUTE(D81,",",REPT(" ",100)),(ROW(INDIRECT("1:"&amp;(LEN(D81)-LEN(SUBSTITUTE(D81,",",""))+1)))-1)*100+1,100))))</f>
        <v>Excel</v>
      </c>
      <c r="H81" t="str" cm="1">
        <f t="array" ref="H81">_xlfn.IFS(
  E81&lt;21, "0-20",
  E81&lt;41, "21-40",
  E81&lt;61, "41-60",
  E81&lt;81, "61-80",
  TRUE,   "81-100"
)</f>
        <v>61-80</v>
      </c>
    </row>
    <row r="82" spans="1:8">
      <c r="A82" t="s">
        <v>136</v>
      </c>
      <c r="B82" t="s">
        <v>77</v>
      </c>
      <c r="C82" t="s">
        <v>9</v>
      </c>
      <c r="D82" t="s">
        <v>10</v>
      </c>
      <c r="E82" cm="1">
        <f t="array" ref="E82">SUM(--ISNUMBER(SEARCH(_xlfn.TEXTSPLIT(D82,","),B82)))/COUNTA(_xlfn.TEXTSPLIT(D82,","))*100</f>
        <v>80</v>
      </c>
      <c r="F82" t="str" cm="1">
        <f t="array" ref="F82">_xlfn.IFS(E82&lt;35,"Low", E82&lt;=65,"Medium", E82&gt;65,"High")</f>
        <v>High</v>
      </c>
      <c r="G82" s="1" t="str" cm="1">
        <f t="array" ref="G82" ca="1">_xlfn.TEXTJOIN(", ",TRUE,IF(ISNUMBER(SEARCH(TRIM(MID(SUBSTITUTE(D82,",",REPT(" ",100)),(ROW(INDIRECT("1:"&amp;(LEN(D82)-LEN(SUBSTITUTE(D82,",",""))+1)))-1)*100+1,100)),B82)),"",TRIM(MID(SUBSTITUTE(D82,",",REPT(" ",100)),(ROW(INDIRECT("1:"&amp;(LEN(D82)-LEN(SUBSTITUTE(D82,",",""))+1)))-1)*100+1,100))))</f>
        <v>Tableau</v>
      </c>
      <c r="H82" t="str" cm="1">
        <f t="array" ref="H82">_xlfn.IFS(
  E82&lt;21, "0-20",
  E82&lt;41, "21-40",
  E82&lt;61, "41-60",
  E82&lt;81, "61-80",
  TRUE,   "81-100"
)</f>
        <v>61-80</v>
      </c>
    </row>
    <row r="83" spans="1:8">
      <c r="A83" t="s">
        <v>137</v>
      </c>
      <c r="B83" t="s">
        <v>79</v>
      </c>
      <c r="C83" t="s">
        <v>13</v>
      </c>
      <c r="D83" t="s">
        <v>14</v>
      </c>
      <c r="E83" cm="1">
        <f t="array" ref="E83">SUM(--ISNUMBER(SEARCH(_xlfn.TEXTSPLIT(D83,","),B83)))/COUNTA(_xlfn.TEXTSPLIT(D83,","))*100</f>
        <v>33.333333333333329</v>
      </c>
      <c r="F83" t="str" cm="1">
        <f t="array" ref="F83">_xlfn.IFS(E83&lt;35,"Low", E83&lt;=65,"Medium", E83&gt;65,"High")</f>
        <v>Low</v>
      </c>
      <c r="G83" s="1" t="str" cm="1">
        <f t="array" ref="G83" ca="1">_xlfn.TEXTJOIN(", ",TRUE,IF(ISNUMBER(SEARCH(TRIM(MID(SUBSTITUTE(D83,",",REPT(" ",100)),(ROW(INDIRECT("1:"&amp;(LEN(D83)-LEN(SUBSTITUTE(D83,",",""))+1)))-1)*100+1,100)),B83)),"",TRIM(MID(SUBSTITUTE(D83,",",REPT(" ",100)),(ROW(INDIRECT("1:"&amp;(LEN(D83)-LEN(SUBSTITUTE(D83,",",""))+1)))-1)*100+1,100))))</f>
        <v>Python, CSS, JavaScript</v>
      </c>
      <c r="H83" t="str" cm="1">
        <f t="array" ref="H83">_xlfn.IFS(
  E83&lt;21, "0-20",
  E83&lt;41, "21-40",
  E83&lt;61, "41-60",
  E83&lt;81, "61-80",
  TRUE,   "81-100"
)</f>
        <v>21-40</v>
      </c>
    </row>
    <row r="84" spans="1:8">
      <c r="A84" t="s">
        <v>138</v>
      </c>
      <c r="B84" t="s">
        <v>81</v>
      </c>
      <c r="C84" t="s">
        <v>17</v>
      </c>
      <c r="D84" t="s">
        <v>18</v>
      </c>
      <c r="E84" cm="1">
        <f t="array" ref="E84">SUM(--ISNUMBER(SEARCH(_xlfn.TEXTSPLIT(D84,","),B84)))/COUNTA(_xlfn.TEXTSPLIT(D84,","))*100</f>
        <v>75</v>
      </c>
      <c r="F84" t="str" cm="1">
        <f t="array" ref="F84">_xlfn.IFS(E84&lt;35,"Low", E84&lt;=65,"Medium", E84&gt;65,"High")</f>
        <v>High</v>
      </c>
      <c r="G84" s="1" t="str" cm="1">
        <f t="array" ref="G84" ca="1">_xlfn.TEXTJOIN(", ",TRUE,IF(ISNUMBER(SEARCH(TRIM(MID(SUBSTITUTE(D84,",",REPT(" ",100)),(ROW(INDIRECT("1:"&amp;(LEN(D84)-LEN(SUBSTITUTE(D84,",",""))+1)))-1)*100+1,100)),B84)),"",TRIM(MID(SUBSTITUTE(D84,",",REPT(" ",100)),(ROW(INDIRECT("1:"&amp;(LEN(D84)-LEN(SUBSTITUTE(D84,",",""))+1)))-1)*100+1,100))))</f>
        <v>Communication</v>
      </c>
      <c r="H84" t="str" cm="1">
        <f t="array" ref="H84">_xlfn.IFS(
  E84&lt;21, "0-20",
  E84&lt;41, "21-40",
  E84&lt;61, "41-60",
  E84&lt;81, "61-80",
  TRUE,   "81-100"
)</f>
        <v>61-80</v>
      </c>
    </row>
    <row r="85" spans="1:8">
      <c r="A85" t="s">
        <v>139</v>
      </c>
      <c r="B85" t="s">
        <v>83</v>
      </c>
      <c r="C85" t="s">
        <v>21</v>
      </c>
      <c r="D85" t="s">
        <v>22</v>
      </c>
      <c r="E85" cm="1">
        <f t="array" ref="E85">SUM(--ISNUMBER(SEARCH(_xlfn.TEXTSPLIT(D85,","),B85)))/COUNTA(_xlfn.TEXTSPLIT(D85,","))*100</f>
        <v>60</v>
      </c>
      <c r="F85" t="str" cm="1">
        <f t="array" ref="F85">_xlfn.IFS(E85&lt;35,"Low", E85&lt;=65,"Medium", E85&gt;65,"High")</f>
        <v>Medium</v>
      </c>
      <c r="G85" s="1" t="str" cm="1">
        <f t="array" ref="G85" ca="1">_xlfn.TEXTJOIN(", ",TRUE,IF(ISNUMBER(SEARCH(TRIM(MID(SUBSTITUTE(D85,",",REPT(" ",100)),(ROW(INDIRECT("1:"&amp;(LEN(D85)-LEN(SUBSTITUTE(D85,",",""))+1)))-1)*100+1,100)),B85)),"",TRIM(MID(SUBSTITUTE(D85,",",REPT(" ",100)),(ROW(INDIRECT("1:"&amp;(LEN(D85)-LEN(SUBSTITUTE(D85,",",""))+1)))-1)*100+1,100))))</f>
        <v>Sales, Excel</v>
      </c>
      <c r="H85" t="str" cm="1">
        <f t="array" ref="H85">_xlfn.IFS(
  E85&lt;21, "0-20",
  E85&lt;41, "21-40",
  E85&lt;61, "41-60",
  E85&lt;81, "61-80",
  TRUE,   "81-100"
)</f>
        <v>41-60</v>
      </c>
    </row>
    <row r="86" spans="1:8">
      <c r="A86" t="s">
        <v>140</v>
      </c>
      <c r="B86" t="s">
        <v>46</v>
      </c>
      <c r="C86" t="s">
        <v>25</v>
      </c>
      <c r="D86" t="s">
        <v>26</v>
      </c>
      <c r="E86" cm="1">
        <f t="array" ref="E86">SUM(--ISNUMBER(SEARCH(_xlfn.TEXTSPLIT(D86,","),B86)))/COUNTA(_xlfn.TEXTSPLIT(D86,","))*100</f>
        <v>75</v>
      </c>
      <c r="F86" t="str" cm="1">
        <f t="array" ref="F86">_xlfn.IFS(E86&lt;35,"Low", E86&lt;=65,"Medium", E86&gt;65,"High")</f>
        <v>High</v>
      </c>
      <c r="G86" s="1" t="str" cm="1">
        <f t="array" ref="G86" ca="1">_xlfn.TEXTJOIN(", ",TRUE,IF(ISNUMBER(SEARCH(TRIM(MID(SUBSTITUTE(D86,",",REPT(" ",100)),(ROW(INDIRECT("1:"&amp;(LEN(D86)-LEN(SUBSTITUTE(D86,",",""))+1)))-1)*100+1,100)),B86)),"",TRIM(MID(SUBSTITUTE(D86,",",REPT(" ",100)),(ROW(INDIRECT("1:"&amp;(LEN(D86)-LEN(SUBSTITUTE(D86,",",""))+1)))-1)*100+1,100))))</f>
        <v>Communication</v>
      </c>
      <c r="H86" t="str" cm="1">
        <f t="array" ref="H86">_xlfn.IFS(
  E86&lt;21, "0-20",
  E86&lt;41, "21-40",
  E86&lt;61, "41-60",
  E86&lt;81, "61-80",
  TRUE,   "81-100"
)</f>
        <v>61-80</v>
      </c>
    </row>
    <row r="87" spans="1:8">
      <c r="A87" t="s">
        <v>141</v>
      </c>
      <c r="B87" t="s">
        <v>86</v>
      </c>
      <c r="C87" t="s">
        <v>9</v>
      </c>
      <c r="D87" t="s">
        <v>10</v>
      </c>
      <c r="E87" cm="1">
        <f t="array" ref="E87">SUM(--ISNUMBER(SEARCH(_xlfn.TEXTSPLIT(D87,","),B87)))/COUNTA(_xlfn.TEXTSPLIT(D87,","))*100</f>
        <v>60</v>
      </c>
      <c r="F87" t="str" cm="1">
        <f t="array" ref="F87">_xlfn.IFS(E87&lt;35,"Low", E87&lt;=65,"Medium", E87&gt;65,"High")</f>
        <v>Medium</v>
      </c>
      <c r="G87" s="1" t="str" cm="1">
        <f t="array" ref="G87" ca="1">_xlfn.TEXTJOIN(", ",TRUE,IF(ISNUMBER(SEARCH(TRIM(MID(SUBSTITUTE(D87,",",REPT(" ",100)),(ROW(INDIRECT("1:"&amp;(LEN(D87)-LEN(SUBSTITUTE(D87,",",""))+1)))-1)*100+1,100)),B87)),"",TRIM(MID(SUBSTITUTE(D87,",",REPT(" ",100)),(ROW(INDIRECT("1:"&amp;(LEN(D87)-LEN(SUBSTITUTE(D87,",",""))+1)))-1)*100+1,100))))</f>
        <v>SQL, Excel</v>
      </c>
      <c r="H87" t="str" cm="1">
        <f t="array" ref="H87">_xlfn.IFS(
  E87&lt;21, "0-20",
  E87&lt;41, "21-40",
  E87&lt;61, "41-60",
  E87&lt;81, "61-80",
  TRUE,   "81-100"
)</f>
        <v>41-60</v>
      </c>
    </row>
    <row r="88" spans="1:8">
      <c r="A88" t="s">
        <v>142</v>
      </c>
      <c r="B88" t="s">
        <v>88</v>
      </c>
      <c r="C88" t="s">
        <v>13</v>
      </c>
      <c r="D88" t="s">
        <v>14</v>
      </c>
      <c r="E88" cm="1">
        <f t="array" ref="E88">SUM(--ISNUMBER(SEARCH(_xlfn.TEXTSPLIT(D88,","),B88)))/COUNTA(_xlfn.TEXTSPLIT(D88,","))*100</f>
        <v>66.666666666666657</v>
      </c>
      <c r="F88" t="str" cm="1">
        <f t="array" ref="F88">_xlfn.IFS(E88&lt;35,"Low", E88&lt;=65,"Medium", E88&gt;65,"High")</f>
        <v>High</v>
      </c>
      <c r="G88" s="1" t="str" cm="1">
        <f t="array" ref="G88" ca="1">_xlfn.TEXTJOIN(", ",TRUE,IF(ISNUMBER(SEARCH(TRIM(MID(SUBSTITUTE(D88,",",REPT(" ",100)),(ROW(INDIRECT("1:"&amp;(LEN(D88)-LEN(SUBSTITUTE(D88,",",""))+1)))-1)*100+1,100)),B88)),"",TRIM(MID(SUBSTITUTE(D88,",",REPT(" ",100)),(ROW(INDIRECT("1:"&amp;(LEN(D88)-LEN(SUBSTITUTE(D88,",",""))+1)))-1)*100+1,100))))</f>
        <v>Python, C++</v>
      </c>
      <c r="H88" t="str" cm="1">
        <f t="array" ref="H88">_xlfn.IFS(
  E88&lt;21, "0-20",
  E88&lt;41, "21-40",
  E88&lt;61, "41-60",
  E88&lt;81, "61-80",
  TRUE,   "81-100"
)</f>
        <v>61-80</v>
      </c>
    </row>
    <row r="89" spans="1:8">
      <c r="A89" t="s">
        <v>143</v>
      </c>
      <c r="B89" t="s">
        <v>90</v>
      </c>
      <c r="C89" t="s">
        <v>17</v>
      </c>
      <c r="D89" t="s">
        <v>18</v>
      </c>
      <c r="E89" cm="1">
        <f t="array" ref="E89">SUM(--ISNUMBER(SEARCH(_xlfn.TEXTSPLIT(D89,","),B89)))/COUNTA(_xlfn.TEXTSPLIT(D89,","))*100</f>
        <v>50</v>
      </c>
      <c r="F89" t="str" cm="1">
        <f t="array" ref="F89">_xlfn.IFS(E89&lt;35,"Low", E89&lt;=65,"Medium", E89&gt;65,"High")</f>
        <v>Medium</v>
      </c>
      <c r="G89" s="1" t="str" cm="1">
        <f t="array" ref="G89" ca="1">_xlfn.TEXTJOIN(", ",TRUE,IF(ISNUMBER(SEARCH(TRIM(MID(SUBSTITUTE(D89,",",REPT(" ",100)),(ROW(INDIRECT("1:"&amp;(LEN(D89)-LEN(SUBSTITUTE(D89,",",""))+1)))-1)*100+1,100)),B89)),"",TRIM(MID(SUBSTITUTE(D89,",",REPT(" ",100)),(ROW(INDIRECT("1:"&amp;(LEN(D89)-LEN(SUBSTITUTE(D89,",",""))+1)))-1)*100+1,100))))</f>
        <v>Excel</v>
      </c>
      <c r="H89" t="str" cm="1">
        <f t="array" ref="H89">_xlfn.IFS(
  E89&lt;21, "0-20",
  E89&lt;41, "21-40",
  E89&lt;61, "41-60",
  E89&lt;81, "61-80",
  TRUE,   "81-100"
)</f>
        <v>41-60</v>
      </c>
    </row>
    <row r="90" spans="1:8">
      <c r="A90" t="s">
        <v>144</v>
      </c>
      <c r="B90" t="s">
        <v>92</v>
      </c>
      <c r="C90" t="s">
        <v>21</v>
      </c>
      <c r="D90" t="s">
        <v>22</v>
      </c>
      <c r="E90" cm="1">
        <f t="array" ref="E90">SUM(--ISNUMBER(SEARCH(_xlfn.TEXTSPLIT(D90,","),B90)))/COUNTA(_xlfn.TEXTSPLIT(D90,","))*100</f>
        <v>60</v>
      </c>
      <c r="F90" t="str" cm="1">
        <f t="array" ref="F90">_xlfn.IFS(E90&lt;35,"Low", E90&lt;=65,"Medium", E90&gt;65,"High")</f>
        <v>Medium</v>
      </c>
      <c r="G90" s="1" t="str" cm="1">
        <f t="array" ref="G90" ca="1">_xlfn.TEXTJOIN(", ",TRUE,IF(ISNUMBER(SEARCH(TRIM(MID(SUBSTITUTE(D90,",",REPT(" ",100)),(ROW(INDIRECT("1:"&amp;(LEN(D90)-LEN(SUBSTITUTE(D90,",",""))+1)))-1)*100+1,100)),B90)),"",TRIM(MID(SUBSTITUTE(D90,",",REPT(" ",100)),(ROW(INDIRECT("1:"&amp;(LEN(D90)-LEN(SUBSTITUTE(D90,",",""))+1)))-1)*100+1,100))))</f>
        <v>Communication, PowerPoint</v>
      </c>
      <c r="H90" t="str" cm="1">
        <f t="array" ref="H90">_xlfn.IFS(
  E90&lt;21, "0-20",
  E90&lt;41, "21-40",
  E90&lt;61, "41-60",
  E90&lt;81, "61-80",
  TRUE,   "81-100"
)</f>
        <v>41-60</v>
      </c>
    </row>
    <row r="91" spans="1:8">
      <c r="A91" t="s">
        <v>145</v>
      </c>
      <c r="B91" t="s">
        <v>56</v>
      </c>
      <c r="C91" t="s">
        <v>25</v>
      </c>
      <c r="D91" t="s">
        <v>26</v>
      </c>
      <c r="E91" cm="1">
        <f t="array" ref="E91">SUM(--ISNUMBER(SEARCH(_xlfn.TEXTSPLIT(D91,","),B91)))/COUNTA(_xlfn.TEXTSPLIT(D91,","))*100</f>
        <v>75</v>
      </c>
      <c r="F91" t="str" cm="1">
        <f t="array" ref="F91">_xlfn.IFS(E91&lt;35,"Low", E91&lt;=65,"Medium", E91&gt;65,"High")</f>
        <v>High</v>
      </c>
      <c r="G91" s="1" t="str" cm="1">
        <f t="array" ref="G91" ca="1">_xlfn.TEXTJOIN(", ",TRUE,IF(ISNUMBER(SEARCH(TRIM(MID(SUBSTITUTE(D91,",",REPT(" ",100)),(ROW(INDIRECT("1:"&amp;(LEN(D91)-LEN(SUBSTITUTE(D91,",",""))+1)))-1)*100+1,100)),B91)),"",TRIM(MID(SUBSTITUTE(D91,",",REPT(" ",100)),(ROW(INDIRECT("1:"&amp;(LEN(D91)-LEN(SUBSTITUTE(D91,",",""))+1)))-1)*100+1,100))))</f>
        <v>Customer Service</v>
      </c>
      <c r="H91" t="str" cm="1">
        <f t="array" ref="H91">_xlfn.IFS(
  E91&lt;21, "0-20",
  E91&lt;41, "21-40",
  E91&lt;61, "41-60",
  E91&lt;81, "61-80",
  TRUE,   "81-100"
)</f>
        <v>61-80</v>
      </c>
    </row>
    <row r="92" spans="1:8">
      <c r="A92" t="s">
        <v>146</v>
      </c>
      <c r="B92" t="s">
        <v>95</v>
      </c>
      <c r="C92" t="s">
        <v>9</v>
      </c>
      <c r="D92" t="s">
        <v>10</v>
      </c>
      <c r="E92" cm="1">
        <f t="array" ref="E92">SUM(--ISNUMBER(SEARCH(_xlfn.TEXTSPLIT(D92,","),B92)))/COUNTA(_xlfn.TEXTSPLIT(D92,","))*100</f>
        <v>80</v>
      </c>
      <c r="F92" t="str" cm="1">
        <f t="array" ref="F92">_xlfn.IFS(E92&lt;35,"Low", E92&lt;=65,"Medium", E92&gt;65,"High")</f>
        <v>High</v>
      </c>
      <c r="G92" s="1" t="str" cm="1">
        <f t="array" aca="1" ref="G92" ca="1">_xlfn.TEXTJOIN(", ",TRUE,IF(ISNUMBER(SEARCH(TRIM(MID(SUBSTITUTE(D92,",",REPT(" ",100)),(ROW(INDIRECT("1:"&amp;(LEN(D92)-LEN(SUBSTITUTE(D92,",",""))+1)))-1)*100+1,100)),B92)),"",TRIM(MID(SUBSTITUTE(D92,",",REPT(" ",100)),(ROW(INDIRECT("1:"&amp;(LEN(D92)-LEN(SUBSTITUTE(D92,",",""))+1)))-1)*100+1,100))))</f>
        <v>R</v>
      </c>
      <c r="H92" t="str" cm="1">
        <f t="array" ref="H92">_xlfn.IFS(
  E92&lt;21, "0-20",
  E92&lt;41, "21-40",
  E92&lt;61, "41-60",
  E92&lt;81, "61-80",
  TRUE,   "81-100"
)</f>
        <v>61-80</v>
      </c>
    </row>
    <row r="93" spans="1:8">
      <c r="A93" t="s">
        <v>147</v>
      </c>
      <c r="B93" t="s">
        <v>97</v>
      </c>
      <c r="C93" t="s">
        <v>13</v>
      </c>
      <c r="D93" t="s">
        <v>14</v>
      </c>
      <c r="E93" cm="1">
        <f t="array" ref="E93">SUM(--ISNUMBER(SEARCH(_xlfn.TEXTSPLIT(D93,","),B93)))/COUNTA(_xlfn.TEXTSPLIT(D93,","))*100</f>
        <v>33.333333333333329</v>
      </c>
      <c r="F93" t="str" cm="1">
        <f t="array" ref="F93">_xlfn.IFS(E93&lt;35,"Low", E93&lt;=65,"Medium", E93&gt;65,"High")</f>
        <v>Low</v>
      </c>
      <c r="G93" s="1" t="str" cm="1">
        <f t="array" ref="G93" ca="1">_xlfn.TEXTJOIN(", ",TRUE,IF(ISNUMBER(SEARCH(TRIM(MID(SUBSTITUTE(D93,",",REPT(" ",100)),(ROW(INDIRECT("1:"&amp;(LEN(D93)-LEN(SUBSTITUTE(D93,",",""))+1)))-1)*100+1,100)),B93)),"",TRIM(MID(SUBSTITUTE(D93,",",REPT(" ",100)),(ROW(INDIRECT("1:"&amp;(LEN(D93)-LEN(SUBSTITUTE(D93,",",""))+1)))-1)*100+1,100))))</f>
        <v>Python, HTML, JavaScript</v>
      </c>
      <c r="H93" t="str" cm="1">
        <f t="array" ref="H93">_xlfn.IFS(
  E93&lt;21, "0-20",
  E93&lt;41, "21-40",
  E93&lt;61, "41-60",
  E93&lt;81, "61-80",
  TRUE,   "81-100"
)</f>
        <v>21-40</v>
      </c>
    </row>
    <row r="94" spans="1:8">
      <c r="A94" t="s">
        <v>148</v>
      </c>
      <c r="B94" t="s">
        <v>81</v>
      </c>
      <c r="C94" t="s">
        <v>17</v>
      </c>
      <c r="D94" t="s">
        <v>18</v>
      </c>
      <c r="E94" cm="1">
        <f t="array" ref="E94">SUM(--ISNUMBER(SEARCH(_xlfn.TEXTSPLIT(D94,","),B94)))/COUNTA(_xlfn.TEXTSPLIT(D94,","))*100</f>
        <v>75</v>
      </c>
      <c r="F94" t="str" cm="1">
        <f t="array" ref="F94">_xlfn.IFS(E94&lt;35,"Low", E94&lt;=65,"Medium", E94&gt;65,"High")</f>
        <v>High</v>
      </c>
      <c r="G94" s="1" t="str" cm="1">
        <f t="array" ref="G94" ca="1">_xlfn.TEXTJOIN(", ",TRUE,IF(ISNUMBER(SEARCH(TRIM(MID(SUBSTITUTE(D94,",",REPT(" ",100)),(ROW(INDIRECT("1:"&amp;(LEN(D94)-LEN(SUBSTITUTE(D94,",",""))+1)))-1)*100+1,100)),B94)),"",TRIM(MID(SUBSTITUTE(D94,",",REPT(" ",100)),(ROW(INDIRECT("1:"&amp;(LEN(D94)-LEN(SUBSTITUTE(D94,",",""))+1)))-1)*100+1,100))))</f>
        <v>Communication</v>
      </c>
      <c r="H94" t="str" cm="1">
        <f t="array" ref="H94">_xlfn.IFS(
  E94&lt;21, "0-20",
  E94&lt;41, "21-40",
  E94&lt;61, "41-60",
  E94&lt;81, "61-80",
  TRUE,   "81-100"
)</f>
        <v>61-80</v>
      </c>
    </row>
    <row r="95" spans="1:8">
      <c r="A95" t="s">
        <v>149</v>
      </c>
      <c r="B95" t="s">
        <v>83</v>
      </c>
      <c r="C95" t="s">
        <v>21</v>
      </c>
      <c r="D95" t="s">
        <v>22</v>
      </c>
      <c r="E95" cm="1">
        <f t="array" ref="E95">SUM(--ISNUMBER(SEARCH(_xlfn.TEXTSPLIT(D95,","),B95)))/COUNTA(_xlfn.TEXTSPLIT(D95,","))*100</f>
        <v>60</v>
      </c>
      <c r="F95" t="str" cm="1">
        <f t="array" ref="F95">_xlfn.IFS(E95&lt;35,"Low", E95&lt;=65,"Medium", E95&gt;65,"High")</f>
        <v>Medium</v>
      </c>
      <c r="G95" s="1" t="str" cm="1">
        <f t="array" ref="G95" ca="1">_xlfn.TEXTJOIN(", ",TRUE,IF(ISNUMBER(SEARCH(TRIM(MID(SUBSTITUTE(D95,",",REPT(" ",100)),(ROW(INDIRECT("1:"&amp;(LEN(D95)-LEN(SUBSTITUTE(D95,",",""))+1)))-1)*100+1,100)),B95)),"",TRIM(MID(SUBSTITUTE(D95,",",REPT(" ",100)),(ROW(INDIRECT("1:"&amp;(LEN(D95)-LEN(SUBSTITUTE(D95,",",""))+1)))-1)*100+1,100))))</f>
        <v>Sales, Excel</v>
      </c>
      <c r="H95" t="str" cm="1">
        <f t="array" ref="H95">_xlfn.IFS(
  E95&lt;21, "0-20",
  E95&lt;41, "21-40",
  E95&lt;61, "41-60",
  E95&lt;81, "61-80",
  TRUE,   "81-100"
)</f>
        <v>41-60</v>
      </c>
    </row>
    <row r="96" spans="1:8">
      <c r="A96" t="s">
        <v>150</v>
      </c>
      <c r="B96" t="s">
        <v>24</v>
      </c>
      <c r="C96" t="s">
        <v>25</v>
      </c>
      <c r="D96" t="s">
        <v>26</v>
      </c>
      <c r="E96" cm="1">
        <f t="array" ref="E96">SUM(--ISNUMBER(SEARCH(_xlfn.TEXTSPLIT(D96,","),B96)))/COUNTA(_xlfn.TEXTSPLIT(D96,","))*100</f>
        <v>75</v>
      </c>
      <c r="F96" t="str" cm="1">
        <f t="array" ref="F96">_xlfn.IFS(E96&lt;35,"Low", E96&lt;=65,"Medium", E96&gt;65,"High")</f>
        <v>High</v>
      </c>
      <c r="G96" s="1" t="str" cm="1">
        <f t="array" ref="G96" ca="1">_xlfn.TEXTJOIN(", ",TRUE,IF(ISNUMBER(SEARCH(TRIM(MID(SUBSTITUTE(D96,",",REPT(" ",100)),(ROW(INDIRECT("1:"&amp;(LEN(D96)-LEN(SUBSTITUTE(D96,",",""))+1)))-1)*100+1,100)),B96)),"",TRIM(MID(SUBSTITUTE(D96,",",REPT(" ",100)),(ROW(INDIRECT("1:"&amp;(LEN(D96)-LEN(SUBSTITUTE(D96,",",""))+1)))-1)*100+1,100))))</f>
        <v>Excel</v>
      </c>
      <c r="H96" t="str" cm="1">
        <f t="array" ref="H96">_xlfn.IFS(
  E96&lt;21, "0-20",
  E96&lt;41, "21-40",
  E96&lt;61, "41-60",
  E96&lt;81, "61-80",
  TRUE,   "81-100"
)</f>
        <v>61-80</v>
      </c>
    </row>
    <row r="97" spans="1:8">
      <c r="A97" t="s">
        <v>151</v>
      </c>
      <c r="B97" t="s">
        <v>102</v>
      </c>
      <c r="C97" t="s">
        <v>9</v>
      </c>
      <c r="D97" t="s">
        <v>10</v>
      </c>
      <c r="E97" cm="1">
        <f t="array" ref="E97">SUM(--ISNUMBER(SEARCH(_xlfn.TEXTSPLIT(D97,","),B97)))/COUNTA(_xlfn.TEXTSPLIT(D97,","))*100</f>
        <v>60</v>
      </c>
      <c r="F97" t="str" cm="1">
        <f t="array" ref="F97">_xlfn.IFS(E97&lt;35,"Low", E97&lt;=65,"Medium", E97&gt;65,"High")</f>
        <v>Medium</v>
      </c>
      <c r="G97" s="1" t="str" cm="1">
        <f t="array" ref="G97" ca="1">_xlfn.TEXTJOIN(", ",TRUE,IF(ISNUMBER(SEARCH(TRIM(MID(SUBSTITUTE(D97,",",REPT(" ",100)),(ROW(INDIRECT("1:"&amp;(LEN(D97)-LEN(SUBSTITUTE(D97,",",""))+1)))-1)*100+1,100)),B97)),"",TRIM(MID(SUBSTITUTE(D97,",",REPT(" ",100)),(ROW(INDIRECT("1:"&amp;(LEN(D97)-LEN(SUBSTITUTE(D97,",",""))+1)))-1)*100+1,100))))</f>
        <v>Excel, Tableau</v>
      </c>
      <c r="H97" t="str" cm="1">
        <f t="array" ref="H97">_xlfn.IFS(
  E97&lt;21, "0-20",
  E97&lt;41, "21-40",
  E97&lt;61, "41-60",
  E97&lt;81, "61-80",
  TRUE,   "81-100"
)</f>
        <v>41-60</v>
      </c>
    </row>
    <row r="98" spans="1:8">
      <c r="A98" t="s">
        <v>152</v>
      </c>
      <c r="B98" t="s">
        <v>88</v>
      </c>
      <c r="C98" t="s">
        <v>13</v>
      </c>
      <c r="D98" t="s">
        <v>14</v>
      </c>
      <c r="E98" cm="1">
        <f t="array" ref="E98">SUM(--ISNUMBER(SEARCH(_xlfn.TEXTSPLIT(D98,","),B98)))/COUNTA(_xlfn.TEXTSPLIT(D98,","))*100</f>
        <v>66.666666666666657</v>
      </c>
      <c r="F98" t="str" cm="1">
        <f t="array" ref="F98">_xlfn.IFS(E98&lt;35,"Low", E98&lt;=65,"Medium", E98&gt;65,"High")</f>
        <v>High</v>
      </c>
      <c r="G98" s="1" t="str" cm="1">
        <f t="array" ref="G98" ca="1">_xlfn.TEXTJOIN(", ",TRUE,IF(ISNUMBER(SEARCH(TRIM(MID(SUBSTITUTE(D98,",",REPT(" ",100)),(ROW(INDIRECT("1:"&amp;(LEN(D98)-LEN(SUBSTITUTE(D98,",",""))+1)))-1)*100+1,100)),B98)),"",TRIM(MID(SUBSTITUTE(D98,",",REPT(" ",100)),(ROW(INDIRECT("1:"&amp;(LEN(D98)-LEN(SUBSTITUTE(D98,",",""))+1)))-1)*100+1,100))))</f>
        <v>Python, C++</v>
      </c>
      <c r="H98" t="str" cm="1">
        <f t="array" ref="H98">_xlfn.IFS(
  E98&lt;21, "0-20",
  E98&lt;41, "21-40",
  E98&lt;61, "41-60",
  E98&lt;81, "61-80",
  TRUE,   "81-100"
)</f>
        <v>61-80</v>
      </c>
    </row>
    <row r="99" spans="1:8">
      <c r="A99" t="s">
        <v>153</v>
      </c>
      <c r="B99" t="s">
        <v>105</v>
      </c>
      <c r="C99" t="s">
        <v>17</v>
      </c>
      <c r="D99" t="s">
        <v>18</v>
      </c>
      <c r="E99" cm="1">
        <f t="array" ref="E99">SUM(--ISNUMBER(SEARCH(_xlfn.TEXTSPLIT(D99,","),B99)))/COUNTA(_xlfn.TEXTSPLIT(D99,","))*100</f>
        <v>50</v>
      </c>
      <c r="F99" t="str" cm="1">
        <f t="array" ref="F99">_xlfn.IFS(E99&lt;35,"Low", E99&lt;=65,"Medium", E99&gt;65,"High")</f>
        <v>Medium</v>
      </c>
      <c r="G99" s="1" t="str" cm="1">
        <f t="array" ref="G99" ca="1">_xlfn.TEXTJOIN(", ",TRUE,IF(ISNUMBER(SEARCH(TRIM(MID(SUBSTITUTE(D99,",",REPT(" ",100)),(ROW(INDIRECT("1:"&amp;(LEN(D99)-LEN(SUBSTITUTE(D99,",",""))+1)))-1)*100+1,100)),B99)),"",TRIM(MID(SUBSTITUTE(D99,",",REPT(" ",100)),(ROW(INDIRECT("1:"&amp;(LEN(D99)-LEN(SUBSTITUTE(D99,",",""))+1)))-1)*100+1,100))))</f>
        <v>Communication</v>
      </c>
      <c r="H99" t="str" cm="1">
        <f t="array" ref="H99">_xlfn.IFS(
  E99&lt;21, "0-20",
  E99&lt;41, "21-40",
  E99&lt;61, "41-60",
  E99&lt;81, "61-80",
  TRUE,   "81-100"
)</f>
        <v>41-60</v>
      </c>
    </row>
    <row r="100" spans="1:8">
      <c r="A100" t="s">
        <v>154</v>
      </c>
      <c r="B100" t="s">
        <v>54</v>
      </c>
      <c r="C100" t="s">
        <v>21</v>
      </c>
      <c r="D100" t="s">
        <v>22</v>
      </c>
      <c r="E100" cm="1">
        <f t="array" ref="E100">SUM(--ISNUMBER(SEARCH(_xlfn.TEXTSPLIT(D100,","),B100)))/COUNTA(_xlfn.TEXTSPLIT(D100,","))*100</f>
        <v>60</v>
      </c>
      <c r="F100" t="str" cm="1">
        <f t="array" ref="F100">_xlfn.IFS(E100&lt;35,"Low", E100&lt;=65,"Medium", E100&gt;65,"High")</f>
        <v>Medium</v>
      </c>
      <c r="G100" s="1" t="str" cm="1">
        <f t="array" ref="G100" ca="1">_xlfn.TEXTJOIN(", ",TRUE,IF(ISNUMBER(SEARCH(TRIM(MID(SUBSTITUTE(D100,",",REPT(" ",100)),(ROW(INDIRECT("1:"&amp;(LEN(D100)-LEN(SUBSTITUTE(D100,",",""))+1)))-1)*100+1,100)),B100)),"",TRIM(MID(SUBSTITUTE(D100,",",REPT(" ",100)),(ROW(INDIRECT("1:"&amp;(LEN(D100)-LEN(SUBSTITUTE(D100,",",""))+1)))-1)*100+1,100))))</f>
        <v>Sales, Excel</v>
      </c>
      <c r="H100" t="str" cm="1">
        <f t="array" ref="H100">_xlfn.IFS(
  E100&lt;21, "0-20",
  E100&lt;41, "21-40",
  E100&lt;61, "41-60",
  E100&lt;81, "61-80",
  TRUE,   "81-100"
)</f>
        <v>41-60</v>
      </c>
    </row>
    <row r="101" spans="1:8">
      <c r="A101" t="s">
        <v>155</v>
      </c>
      <c r="B101" t="s">
        <v>56</v>
      </c>
      <c r="C101" t="s">
        <v>25</v>
      </c>
      <c r="D101" t="s">
        <v>26</v>
      </c>
      <c r="E101" cm="1">
        <f t="array" ref="E101">SUM(--ISNUMBER(SEARCH(_xlfn.TEXTSPLIT(D101,","),B101)))/COUNTA(_xlfn.TEXTSPLIT(D101,","))*100</f>
        <v>75</v>
      </c>
      <c r="F101" t="str" cm="1">
        <f t="array" ref="F101">_xlfn.IFS(E101&lt;35,"Low", E101&lt;=65,"Medium", E101&gt;65,"High")</f>
        <v>High</v>
      </c>
      <c r="G101" s="1" t="str" cm="1">
        <f t="array" ref="G101" ca="1">_xlfn.TEXTJOIN(", ",TRUE,IF(ISNUMBER(SEARCH(TRIM(MID(SUBSTITUTE(D101,",",REPT(" ",100)),(ROW(INDIRECT("1:"&amp;(LEN(D101)-LEN(SUBSTITUTE(D101,",",""))+1)))-1)*100+1,100)),B101)),"",TRIM(MID(SUBSTITUTE(D101,",",REPT(" ",100)),(ROW(INDIRECT("1:"&amp;(LEN(D101)-LEN(SUBSTITUTE(D101,",",""))+1)))-1)*100+1,100))))</f>
        <v>Customer Service</v>
      </c>
      <c r="H101" t="str" cm="1">
        <f t="array" ref="H101">_xlfn.IFS(
  E101&lt;21, "0-20",
  E101&lt;41, "21-40",
  E101&lt;61, "41-60",
  E101&lt;81, "61-80",
  TRUE,   "81-100"
)</f>
        <v>61-80</v>
      </c>
    </row>
  </sheetData>
  <conditionalFormatting sqref="E2:E101">
    <cfRule type="cellIs" dxfId="4" priority="4" operator="lessThan">
      <formula>50</formula>
    </cfRule>
  </conditionalFormatting>
  <conditionalFormatting sqref="F2:F101">
    <cfRule type="cellIs" dxfId="3" priority="1" operator="equal">
      <formula>"High"</formula>
    </cfRule>
    <cfRule type="cellIs" dxfId="2" priority="2" operator="equal">
      <formula>"Medium"</formula>
    </cfRule>
    <cfRule type="cellIs" dxfId="1" priority="3" operator="equal">
      <formula>"Low"</formula>
    </cfRule>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DC837-A059-4763-90D9-7A2079EA7F31}">
  <dimension ref="A1:Y7"/>
  <sheetViews>
    <sheetView showGridLines="0" tabSelected="1" zoomScale="89" zoomScaleNormal="85" workbookViewId="0">
      <selection activeCell="Z14" sqref="Z14"/>
    </sheetView>
  </sheetViews>
  <sheetFormatPr defaultRowHeight="14.4"/>
  <sheetData>
    <row r="1" spans="1:25" ht="14.4" customHeight="1">
      <c r="A1" s="10" t="s">
        <v>157</v>
      </c>
      <c r="B1" s="10"/>
      <c r="C1" s="10"/>
      <c r="D1" s="10"/>
      <c r="E1" s="10"/>
      <c r="F1" s="10"/>
      <c r="G1" s="10"/>
      <c r="H1" s="10"/>
      <c r="I1" s="10"/>
      <c r="J1" s="10"/>
      <c r="K1" s="10"/>
      <c r="L1" s="10"/>
      <c r="M1" s="10"/>
      <c r="N1" s="10"/>
      <c r="O1" s="10"/>
      <c r="P1" s="10"/>
      <c r="Q1" s="10"/>
      <c r="R1" s="10"/>
      <c r="S1" s="10"/>
      <c r="T1" s="10"/>
      <c r="U1" s="10"/>
      <c r="V1" s="10"/>
      <c r="W1" s="10"/>
      <c r="X1" s="10"/>
      <c r="Y1" s="10"/>
    </row>
    <row r="2" spans="1:25" ht="14.4" customHeight="1">
      <c r="A2" s="10"/>
      <c r="B2" s="10"/>
      <c r="C2" s="10"/>
      <c r="D2" s="10"/>
      <c r="E2" s="10"/>
      <c r="F2" s="10"/>
      <c r="G2" s="10"/>
      <c r="H2" s="10"/>
      <c r="I2" s="10"/>
      <c r="J2" s="10"/>
      <c r="K2" s="10"/>
      <c r="L2" s="10"/>
      <c r="M2" s="10"/>
      <c r="N2" s="10"/>
      <c r="O2" s="10"/>
      <c r="P2" s="10"/>
      <c r="Q2" s="10"/>
      <c r="R2" s="10"/>
      <c r="S2" s="10"/>
      <c r="T2" s="10"/>
      <c r="U2" s="10"/>
      <c r="V2" s="10"/>
      <c r="W2" s="10"/>
      <c r="X2" s="10"/>
      <c r="Y2" s="10"/>
    </row>
    <row r="3" spans="1:25" ht="14.4" customHeight="1">
      <c r="A3" s="10"/>
      <c r="B3" s="10"/>
      <c r="C3" s="10"/>
      <c r="D3" s="10"/>
      <c r="E3" s="10"/>
      <c r="F3" s="10"/>
      <c r="G3" s="10"/>
      <c r="H3" s="10"/>
      <c r="I3" s="10"/>
      <c r="J3" s="10"/>
      <c r="K3" s="10"/>
      <c r="L3" s="10"/>
      <c r="M3" s="10"/>
      <c r="N3" s="10"/>
      <c r="O3" s="10"/>
      <c r="P3" s="10"/>
      <c r="Q3" s="10"/>
      <c r="R3" s="10"/>
      <c r="S3" s="10"/>
      <c r="T3" s="10"/>
      <c r="U3" s="10"/>
      <c r="V3" s="10"/>
      <c r="W3" s="10"/>
      <c r="X3" s="10"/>
      <c r="Y3" s="10"/>
    </row>
    <row r="4" spans="1:25" ht="14.4" customHeight="1">
      <c r="A4" s="10"/>
      <c r="B4" s="10"/>
      <c r="C4" s="10"/>
      <c r="D4" s="10"/>
      <c r="E4" s="10"/>
      <c r="F4" s="10"/>
      <c r="G4" s="10"/>
      <c r="H4" s="10"/>
      <c r="I4" s="10"/>
      <c r="J4" s="10"/>
      <c r="K4" s="10"/>
      <c r="L4" s="10"/>
      <c r="M4" s="10"/>
      <c r="N4" s="10"/>
      <c r="O4" s="10"/>
      <c r="P4" s="10"/>
      <c r="Q4" s="10"/>
      <c r="R4" s="10"/>
      <c r="S4" s="10"/>
      <c r="T4" s="10"/>
      <c r="U4" s="10"/>
      <c r="V4" s="10"/>
      <c r="W4" s="10"/>
      <c r="X4" s="10"/>
      <c r="Y4" s="10"/>
    </row>
    <row r="5" spans="1:25">
      <c r="A5" s="5" t="e" vm="1">
        <v>#VALUE!</v>
      </c>
      <c r="B5" s="7" t="s">
        <v>156</v>
      </c>
      <c r="C5" s="7"/>
      <c r="D5" s="7"/>
      <c r="E5" s="5" t="e" vm="2">
        <v>#VALUE!</v>
      </c>
      <c r="F5" s="8" t="s">
        <v>158</v>
      </c>
      <c r="G5" s="8"/>
      <c r="H5" s="8"/>
      <c r="I5" s="5" t="e" vm="3">
        <v>#VALUE!</v>
      </c>
      <c r="J5" s="7" t="s">
        <v>159</v>
      </c>
      <c r="K5" s="7"/>
      <c r="L5" s="7"/>
      <c r="M5" s="5" t="e" vm="4">
        <v>#VALUE!</v>
      </c>
      <c r="N5" s="7" t="s">
        <v>160</v>
      </c>
      <c r="O5" s="7"/>
      <c r="P5" s="7"/>
      <c r="Q5" s="5" t="e" vm="5">
        <v>#VALUE!</v>
      </c>
      <c r="R5" s="7" t="s">
        <v>161</v>
      </c>
      <c r="S5" s="7"/>
      <c r="T5" s="7"/>
      <c r="U5" s="5" t="e" vm="6">
        <v>#VALUE!</v>
      </c>
      <c r="V5" s="8" t="s">
        <v>162</v>
      </c>
      <c r="W5" s="8"/>
      <c r="X5" s="8"/>
      <c r="Y5" s="8"/>
    </row>
    <row r="6" spans="1:25">
      <c r="A6" s="5"/>
      <c r="B6" s="6">
        <f>ROWS(tblCandidates1[])</f>
        <v>100</v>
      </c>
      <c r="C6" s="6"/>
      <c r="D6" s="6"/>
      <c r="E6" s="5"/>
      <c r="F6" s="6">
        <f>ROUND(AVERAGE(tblCandidates1[Match Score (%)]),2)</f>
        <v>59.03</v>
      </c>
      <c r="G6" s="6"/>
      <c r="H6" s="6"/>
      <c r="I6" s="5"/>
      <c r="J6" s="6">
        <f>COUNTIF(tblCandidates1[ATS Readiness],"High")</f>
        <v>36</v>
      </c>
      <c r="K6" s="6"/>
      <c r="L6" s="6"/>
      <c r="M6" s="5"/>
      <c r="N6" s="6">
        <f>COUNTIF(tblCandidates1[ATS Readiness],"Medium")</f>
        <v>48</v>
      </c>
      <c r="O6" s="6"/>
      <c r="P6" s="6"/>
      <c r="Q6" s="5"/>
      <c r="R6" s="6">
        <f>COUNTIF(tblCandidates1[ATS Readiness],"Low")</f>
        <v>16</v>
      </c>
      <c r="S6" s="6"/>
      <c r="T6" s="6"/>
      <c r="U6" s="5"/>
      <c r="V6" s="6">
        <f ca="1">COUNTIF(tblCandidates1[Improvement Suggestions],"&lt;&gt;Good")</f>
        <v>100</v>
      </c>
      <c r="W6" s="6"/>
      <c r="X6" s="6"/>
      <c r="Y6" s="6"/>
    </row>
    <row r="7" spans="1:25">
      <c r="A7" s="5"/>
      <c r="B7" s="6"/>
      <c r="C7" s="6"/>
      <c r="D7" s="6"/>
      <c r="E7" s="5"/>
      <c r="F7" s="6"/>
      <c r="G7" s="6"/>
      <c r="H7" s="6"/>
      <c r="I7" s="5"/>
      <c r="J7" s="6"/>
      <c r="K7" s="6"/>
      <c r="L7" s="6"/>
      <c r="M7" s="5"/>
      <c r="N7" s="6"/>
      <c r="O7" s="6"/>
      <c r="P7" s="6"/>
      <c r="Q7" s="5"/>
      <c r="R7" s="6"/>
      <c r="S7" s="6"/>
      <c r="T7" s="6"/>
      <c r="U7" s="5"/>
      <c r="V7" s="6"/>
      <c r="W7" s="6"/>
      <c r="X7" s="6"/>
      <c r="Y7" s="6"/>
    </row>
  </sheetData>
  <mergeCells count="19">
    <mergeCell ref="A5:A7"/>
    <mergeCell ref="A1:Y4"/>
    <mergeCell ref="N5:P5"/>
    <mergeCell ref="J5:L5"/>
    <mergeCell ref="F5:H5"/>
    <mergeCell ref="R5:T5"/>
    <mergeCell ref="V5:Y5"/>
    <mergeCell ref="U5:U7"/>
    <mergeCell ref="V6:Y7"/>
    <mergeCell ref="M5:M7"/>
    <mergeCell ref="N6:P7"/>
    <mergeCell ref="Q5:Q7"/>
    <mergeCell ref="R6:T7"/>
    <mergeCell ref="B6:D7"/>
    <mergeCell ref="E5:E7"/>
    <mergeCell ref="F6:H7"/>
    <mergeCell ref="I5:I7"/>
    <mergeCell ref="J6:L7"/>
    <mergeCell ref="B5:D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6CBD-CD38-406E-BAC8-207371DB3E22}">
  <dimension ref="A3:K24"/>
  <sheetViews>
    <sheetView zoomScaleNormal="100" workbookViewId="0">
      <selection activeCell="G3" sqref="G3:K10"/>
    </sheetView>
  </sheetViews>
  <sheetFormatPr defaultRowHeight="14.4"/>
  <cols>
    <col min="1" max="1" width="12.5546875" bestFit="1" customWidth="1"/>
    <col min="2" max="2" width="23.109375" bestFit="1" customWidth="1"/>
    <col min="3" max="3" width="24.6640625" bestFit="1" customWidth="1"/>
    <col min="4" max="4" width="17.44140625" bestFit="1" customWidth="1"/>
    <col min="5" max="5" width="23.109375" bestFit="1" customWidth="1"/>
    <col min="7" max="7" width="23.109375" bestFit="1" customWidth="1"/>
    <col min="8" max="8" width="15.5546875" bestFit="1" customWidth="1"/>
    <col min="9" max="9" width="4.44140625" bestFit="1" customWidth="1"/>
    <col min="10" max="10" width="8.109375" bestFit="1" customWidth="1"/>
    <col min="11" max="11" width="10.77734375" bestFit="1" customWidth="1"/>
  </cols>
  <sheetData>
    <row r="3" spans="1:11">
      <c r="A3" s="2" t="s">
        <v>167</v>
      </c>
      <c r="B3" t="s">
        <v>168</v>
      </c>
      <c r="D3" s="2" t="s">
        <v>167</v>
      </c>
      <c r="E3" t="s">
        <v>168</v>
      </c>
      <c r="G3" s="2" t="s">
        <v>168</v>
      </c>
      <c r="H3" s="2" t="s">
        <v>175</v>
      </c>
    </row>
    <row r="4" spans="1:11">
      <c r="A4" s="3" t="s">
        <v>163</v>
      </c>
      <c r="B4" s="9">
        <v>36</v>
      </c>
      <c r="D4" s="3" t="s">
        <v>9</v>
      </c>
      <c r="E4" s="9">
        <v>20</v>
      </c>
      <c r="G4" s="2" t="s">
        <v>167</v>
      </c>
      <c r="H4" t="s">
        <v>163</v>
      </c>
      <c r="I4" t="s">
        <v>164</v>
      </c>
      <c r="J4" t="s">
        <v>165</v>
      </c>
      <c r="K4" t="s">
        <v>166</v>
      </c>
    </row>
    <row r="5" spans="1:11">
      <c r="A5" s="3" t="s">
        <v>164</v>
      </c>
      <c r="B5" s="9">
        <v>16</v>
      </c>
      <c r="D5" s="3" t="s">
        <v>21</v>
      </c>
      <c r="E5" s="9">
        <v>20</v>
      </c>
      <c r="G5" s="3" t="s">
        <v>9</v>
      </c>
      <c r="H5" s="9">
        <v>6</v>
      </c>
      <c r="I5" s="9"/>
      <c r="J5" s="9">
        <v>14</v>
      </c>
      <c r="K5" s="9">
        <v>20</v>
      </c>
    </row>
    <row r="6" spans="1:11">
      <c r="A6" s="3" t="s">
        <v>165</v>
      </c>
      <c r="B6" s="9">
        <v>48</v>
      </c>
      <c r="D6" s="3" t="s">
        <v>17</v>
      </c>
      <c r="E6" s="9">
        <v>20</v>
      </c>
      <c r="G6" s="3" t="s">
        <v>21</v>
      </c>
      <c r="H6" s="9"/>
      <c r="I6" s="9"/>
      <c r="J6" s="9">
        <v>20</v>
      </c>
      <c r="K6" s="9">
        <v>20</v>
      </c>
    </row>
    <row r="7" spans="1:11">
      <c r="A7" s="3" t="s">
        <v>166</v>
      </c>
      <c r="B7" s="9">
        <v>100</v>
      </c>
      <c r="D7" s="3" t="s">
        <v>25</v>
      </c>
      <c r="E7" s="9">
        <v>20</v>
      </c>
      <c r="G7" s="3" t="s">
        <v>17</v>
      </c>
      <c r="H7" s="9">
        <v>8</v>
      </c>
      <c r="I7" s="9">
        <v>4</v>
      </c>
      <c r="J7" s="9">
        <v>8</v>
      </c>
      <c r="K7" s="9">
        <v>20</v>
      </c>
    </row>
    <row r="8" spans="1:11">
      <c r="D8" s="3" t="s">
        <v>13</v>
      </c>
      <c r="E8" s="9">
        <v>20</v>
      </c>
      <c r="G8" s="3" t="s">
        <v>25</v>
      </c>
      <c r="H8" s="9">
        <v>18</v>
      </c>
      <c r="I8" s="9"/>
      <c r="J8" s="9">
        <v>2</v>
      </c>
      <c r="K8" s="9">
        <v>20</v>
      </c>
    </row>
    <row r="9" spans="1:11">
      <c r="D9" s="3" t="s">
        <v>166</v>
      </c>
      <c r="E9" s="9">
        <v>100</v>
      </c>
      <c r="G9" s="3" t="s">
        <v>13</v>
      </c>
      <c r="H9" s="9">
        <v>4</v>
      </c>
      <c r="I9" s="9">
        <v>12</v>
      </c>
      <c r="J9" s="9">
        <v>4</v>
      </c>
      <c r="K9" s="9">
        <v>20</v>
      </c>
    </row>
    <row r="10" spans="1:11">
      <c r="A10" s="2" t="s">
        <v>167</v>
      </c>
      <c r="B10" t="s">
        <v>174</v>
      </c>
      <c r="G10" s="3" t="s">
        <v>166</v>
      </c>
      <c r="H10" s="9">
        <v>36</v>
      </c>
      <c r="I10" s="9">
        <v>16</v>
      </c>
      <c r="J10" s="9">
        <v>48</v>
      </c>
      <c r="K10" s="9">
        <v>100</v>
      </c>
    </row>
    <row r="11" spans="1:11">
      <c r="A11" s="3" t="s">
        <v>9</v>
      </c>
      <c r="B11" s="9">
        <v>66</v>
      </c>
    </row>
    <row r="12" spans="1:11">
      <c r="A12" s="3" t="s">
        <v>21</v>
      </c>
      <c r="B12" s="9">
        <v>60</v>
      </c>
    </row>
    <row r="13" spans="1:11">
      <c r="A13" s="3" t="s">
        <v>17</v>
      </c>
      <c r="B13" s="9">
        <v>55</v>
      </c>
    </row>
    <row r="14" spans="1:11">
      <c r="A14" s="3" t="s">
        <v>25</v>
      </c>
      <c r="B14" s="9">
        <v>72.5</v>
      </c>
    </row>
    <row r="15" spans="1:11">
      <c r="A15" s="3" t="s">
        <v>13</v>
      </c>
      <c r="B15" s="9">
        <v>41.666666666666671</v>
      </c>
    </row>
    <row r="16" spans="1:11">
      <c r="A16" s="3" t="s">
        <v>166</v>
      </c>
      <c r="B16" s="9">
        <v>59.033333333333324</v>
      </c>
    </row>
    <row r="19" spans="1:2">
      <c r="A19" s="2" t="s">
        <v>167</v>
      </c>
      <c r="B19" t="s">
        <v>168</v>
      </c>
    </row>
    <row r="20" spans="1:2">
      <c r="A20" s="3" t="s">
        <v>173</v>
      </c>
      <c r="B20" s="9">
        <v>2</v>
      </c>
    </row>
    <row r="21" spans="1:2">
      <c r="A21" s="3" t="s">
        <v>170</v>
      </c>
      <c r="B21" s="9">
        <v>14</v>
      </c>
    </row>
    <row r="22" spans="1:2">
      <c r="A22" s="3" t="s">
        <v>171</v>
      </c>
      <c r="B22" s="9">
        <v>48</v>
      </c>
    </row>
    <row r="23" spans="1:2">
      <c r="A23" s="3" t="s">
        <v>172</v>
      </c>
      <c r="B23" s="9">
        <v>36</v>
      </c>
    </row>
    <row r="24" spans="1:2">
      <c r="A24" s="3" t="s">
        <v>166</v>
      </c>
      <c r="B24" s="9">
        <v>100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Data_Raw</vt:lpstr>
      <vt:lpstr>dashboard</vt:lpstr>
      <vt:lpstr>pivot &amp; slicer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Chandramohan R</cp:lastModifiedBy>
  <dcterms:created xsi:type="dcterms:W3CDTF">2025-11-30T15:16:00Z</dcterms:created>
  <dcterms:modified xsi:type="dcterms:W3CDTF">2025-12-01T13:16:51Z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BB7699E0FC3A46BE88F1CC8C27259803_12</vt:lpwstr>
  </property>
  <property fmtid="{D5CDD505-2E9C-101B-9397-08002B2CF9AE}" pid="3" name="KSOProductBuildVer">
    <vt:lpwstr>1033-12.2.0.23155</vt:lpwstr>
  </property>
</Properties>
</file>